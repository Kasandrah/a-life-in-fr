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my-obsidian-vaults\a-life-in-fr\zzz-attachments\star-wars\"/>
    </mc:Choice>
  </mc:AlternateContent>
  <xr:revisionPtr revIDLastSave="0" documentId="8_{BC124A2B-C637-4E63-8261-2F3AC7DC705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" sheetId="1" r:id="rId1"/>
    <sheet name="Character Sheet" sheetId="2" r:id="rId2"/>
    <sheet name="Example (Scoundrel)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3" l="1"/>
  <c r="O47" i="3"/>
  <c r="M47" i="3"/>
  <c r="M49" i="3" s="1"/>
  <c r="C43" i="3"/>
  <c r="C42" i="3"/>
  <c r="C41" i="3"/>
  <c r="C40" i="3"/>
  <c r="C39" i="3"/>
  <c r="F28" i="3"/>
  <c r="H20" i="3" s="1"/>
  <c r="B28" i="3"/>
  <c r="C28" i="3" s="1"/>
  <c r="F27" i="3"/>
  <c r="B27" i="3"/>
  <c r="C27" i="3" s="1"/>
  <c r="F26" i="3"/>
  <c r="B26" i="3"/>
  <c r="C26" i="3" s="1"/>
  <c r="F25" i="3"/>
  <c r="C25" i="3"/>
  <c r="B8" i="3" s="1"/>
  <c r="B25" i="3"/>
  <c r="F24" i="3"/>
  <c r="B24" i="3"/>
  <c r="C24" i="3" s="1"/>
  <c r="F23" i="3"/>
  <c r="B23" i="3"/>
  <c r="C23" i="3" s="1"/>
  <c r="E14" i="3"/>
  <c r="B14" i="3"/>
  <c r="E10" i="3"/>
  <c r="B10" i="3"/>
  <c r="G9" i="3"/>
  <c r="E9" i="3"/>
  <c r="N7" i="3"/>
  <c r="N6" i="3"/>
  <c r="E6" i="3"/>
  <c r="B6" i="3"/>
  <c r="C70" i="2"/>
  <c r="O47" i="2"/>
  <c r="M47" i="2"/>
  <c r="M49" i="2" s="1"/>
  <c r="C43" i="2"/>
  <c r="C42" i="2"/>
  <c r="C41" i="2"/>
  <c r="C40" i="2"/>
  <c r="C39" i="2"/>
  <c r="F28" i="2"/>
  <c r="B28" i="2"/>
  <c r="C28" i="2" s="1"/>
  <c r="F27" i="2"/>
  <c r="C27" i="2"/>
  <c r="H65" i="2" s="1"/>
  <c r="C65" i="2" s="1"/>
  <c r="B27" i="2"/>
  <c r="F26" i="2"/>
  <c r="C26" i="2"/>
  <c r="H53" i="2" s="1"/>
  <c r="C53" i="2" s="1"/>
  <c r="B26" i="2"/>
  <c r="F25" i="2"/>
  <c r="B25" i="2"/>
  <c r="C25" i="2" s="1"/>
  <c r="F24" i="2"/>
  <c r="B24" i="2"/>
  <c r="C24" i="2" s="1"/>
  <c r="F23" i="2"/>
  <c r="H20" i="2" s="1"/>
  <c r="B23" i="2"/>
  <c r="C23" i="2" s="1"/>
  <c r="E10" i="2"/>
  <c r="B10" i="2"/>
  <c r="G9" i="2"/>
  <c r="E9" i="2"/>
  <c r="N7" i="2"/>
  <c r="N6" i="2"/>
  <c r="F9" i="2" l="1"/>
  <c r="B9" i="2" s="1"/>
  <c r="H64" i="2"/>
  <c r="C64" i="2" s="1"/>
  <c r="H63" i="2"/>
  <c r="C63" i="2" s="1"/>
  <c r="O7" i="2"/>
  <c r="L7" i="2" s="1"/>
  <c r="H62" i="2"/>
  <c r="C62" i="2" s="1"/>
  <c r="H61" i="2"/>
  <c r="C61" i="2" s="1"/>
  <c r="H59" i="2"/>
  <c r="C59" i="2" s="1"/>
  <c r="E15" i="2"/>
  <c r="B15" i="2" s="1"/>
  <c r="F11" i="2"/>
  <c r="B11" i="2" s="1"/>
  <c r="H33" i="2"/>
  <c r="C33" i="2" s="1"/>
  <c r="B8" i="2"/>
  <c r="E6" i="2"/>
  <c r="B6" i="2" s="1"/>
  <c r="E14" i="2"/>
  <c r="B14" i="2" s="1"/>
  <c r="H66" i="3"/>
  <c r="C66" i="3" s="1"/>
  <c r="H37" i="3"/>
  <c r="C37" i="3" s="1"/>
  <c r="O6" i="3"/>
  <c r="L6" i="3" s="1"/>
  <c r="F11" i="3"/>
  <c r="B11" i="3" s="1"/>
  <c r="H33" i="3"/>
  <c r="C33" i="3" s="1"/>
  <c r="F9" i="3"/>
  <c r="B9" i="3" s="1"/>
  <c r="H64" i="3"/>
  <c r="C64" i="3" s="1"/>
  <c r="H59" i="3"/>
  <c r="C59" i="3" s="1"/>
  <c r="H63" i="3"/>
  <c r="C63" i="3" s="1"/>
  <c r="O7" i="3"/>
  <c r="L7" i="3" s="1"/>
  <c r="H62" i="3"/>
  <c r="C62" i="3" s="1"/>
  <c r="H61" i="3"/>
  <c r="C61" i="3" s="1"/>
  <c r="E15" i="3"/>
  <c r="B15" i="3" s="1"/>
  <c r="H45" i="2"/>
  <c r="C45" i="2" s="1"/>
  <c r="H36" i="2"/>
  <c r="C36" i="2" s="1"/>
  <c r="H47" i="2"/>
  <c r="C47" i="2" s="1"/>
  <c r="H58" i="2"/>
  <c r="C58" i="2" s="1"/>
  <c r="H44" i="3"/>
  <c r="C44" i="3" s="1"/>
  <c r="E5" i="3"/>
  <c r="B5" i="3" s="1"/>
  <c r="H46" i="3"/>
  <c r="C46" i="3" s="1"/>
  <c r="H55" i="3"/>
  <c r="C55" i="3" s="1"/>
  <c r="H54" i="3"/>
  <c r="C54" i="3" s="1"/>
  <c r="H53" i="3"/>
  <c r="C53" i="3" s="1"/>
  <c r="H52" i="3"/>
  <c r="C52" i="3" s="1"/>
  <c r="H38" i="3"/>
  <c r="C38" i="3" s="1"/>
  <c r="H56" i="3"/>
  <c r="C56" i="3" s="1"/>
  <c r="H51" i="3"/>
  <c r="C51" i="3" s="1"/>
  <c r="H49" i="3"/>
  <c r="C49" i="3" s="1"/>
  <c r="H34" i="3"/>
  <c r="C34" i="3" s="1"/>
  <c r="F30" i="3"/>
  <c r="I30" i="3" s="1"/>
  <c r="H50" i="3"/>
  <c r="C50" i="3" s="1"/>
  <c r="H60" i="3"/>
  <c r="C60" i="3" s="1"/>
  <c r="H57" i="3"/>
  <c r="C57" i="3" s="1"/>
  <c r="H67" i="3"/>
  <c r="C67" i="3" s="1"/>
  <c r="H65" i="3"/>
  <c r="C65" i="3" s="1"/>
  <c r="E16" i="3"/>
  <c r="B16" i="3" s="1"/>
  <c r="H35" i="3"/>
  <c r="C35" i="3" s="1"/>
  <c r="E18" i="3" s="1"/>
  <c r="B18" i="3" s="1"/>
  <c r="H47" i="3"/>
  <c r="C47" i="3" s="1"/>
  <c r="H45" i="3"/>
  <c r="C45" i="3" s="1"/>
  <c r="H58" i="3"/>
  <c r="C58" i="3" s="1"/>
  <c r="H36" i="3"/>
  <c r="C36" i="3" s="1"/>
  <c r="H37" i="2"/>
  <c r="C37" i="2" s="1"/>
  <c r="O6" i="2"/>
  <c r="L6" i="2" s="1"/>
  <c r="H66" i="2"/>
  <c r="C66" i="2" s="1"/>
  <c r="F30" i="2"/>
  <c r="I30" i="2" s="1"/>
  <c r="H46" i="2"/>
  <c r="C46" i="2" s="1"/>
  <c r="E16" i="2"/>
  <c r="B16" i="2" s="1"/>
  <c r="E5" i="2"/>
  <c r="B5" i="2" s="1"/>
  <c r="H55" i="2"/>
  <c r="C55" i="2" s="1"/>
  <c r="H44" i="2"/>
  <c r="C44" i="2" s="1"/>
  <c r="H34" i="2"/>
  <c r="C34" i="2" s="1"/>
  <c r="H60" i="2"/>
  <c r="C60" i="2" s="1"/>
  <c r="H49" i="2"/>
  <c r="C49" i="2" s="1"/>
  <c r="H35" i="2"/>
  <c r="C35" i="2" s="1"/>
  <c r="E18" i="2" s="1"/>
  <c r="B18" i="2" s="1"/>
  <c r="H56" i="2"/>
  <c r="C56" i="2" s="1"/>
  <c r="H57" i="2"/>
  <c r="C57" i="2" s="1"/>
  <c r="H50" i="2"/>
  <c r="C50" i="2" s="1"/>
  <c r="H51" i="2"/>
  <c r="C51" i="2" s="1"/>
  <c r="H38" i="2"/>
  <c r="C38" i="2" s="1"/>
  <c r="H52" i="2"/>
  <c r="C52" i="2" s="1"/>
  <c r="H54" i="2"/>
  <c r="C54" i="2" s="1"/>
  <c r="H67" i="2"/>
  <c r="C67" i="2" s="1"/>
</calcChain>
</file>

<file path=xl/sharedStrings.xml><?xml version="1.0" encoding="utf-8"?>
<sst xmlns="http://schemas.openxmlformats.org/spreadsheetml/2006/main" count="618" uniqueCount="184">
  <si>
    <t>Click here to make a copy you can edit!</t>
  </si>
  <si>
    <t>Alternatively, go File &gt; Download &gt; Microsoft Excel (.xlsx) to get an offline Excel copy</t>
  </si>
  <si>
    <t>&gt; If it complains about needing to 'repair' it, let it do so (say Yes) to make it happy, it doesnt break anything.</t>
  </si>
  <si>
    <t>ONLY EDIT THESE BOXES</t>
  </si>
  <si>
    <t>&gt;&gt;&gt;&gt;&gt;</t>
  </si>
  <si>
    <t>&lt;&lt;&lt;&lt;&lt;</t>
  </si>
  <si>
    <t>The rest will be calculated for you based on your inputs :)</t>
  </si>
  <si>
    <t>Right Click &gt; Duplicate the Character Sheet tab down the bottom to have multiple characters (or multiple revisions of one)</t>
  </si>
  <si>
    <t>Version 1.1</t>
  </si>
  <si>
    <t>- Added base attack bonus and base AC from class</t>
  </si>
  <si>
    <t>- Added melee / ranged attack bonuses</t>
  </si>
  <si>
    <t>- Added passive awareness</t>
  </si>
  <si>
    <t>- Expanded weapons to have a space for weapon specific properties and notes</t>
  </si>
  <si>
    <t>Version 1.0</t>
  </si>
  <si>
    <t>- Initial Version</t>
  </si>
  <si>
    <t>Name</t>
  </si>
  <si>
    <t>Race</t>
  </si>
  <si>
    <t>Class</t>
  </si>
  <si>
    <t>Proficiencies</t>
  </si>
  <si>
    <t>Level</t>
  </si>
  <si>
    <t>Speed</t>
  </si>
  <si>
    <t>Credits</t>
  </si>
  <si>
    <t>Mod</t>
  </si>
  <si>
    <t>Skills per Lv.</t>
  </si>
  <si>
    <t>=</t>
  </si>
  <si>
    <t>Base Attack</t>
  </si>
  <si>
    <t>Total</t>
  </si>
  <si>
    <t>BAB</t>
  </si>
  <si>
    <t>Misc</t>
  </si>
  <si>
    <t>HP per Lv.</t>
  </si>
  <si>
    <t>Base AC</t>
  </si>
  <si>
    <t>Melee</t>
  </si>
  <si>
    <t>Ranged</t>
  </si>
  <si>
    <t>HP</t>
  </si>
  <si>
    <t>Base</t>
  </si>
  <si>
    <t>Armour</t>
  </si>
  <si>
    <t>Dex</t>
  </si>
  <si>
    <t>Class Lv</t>
  </si>
  <si>
    <t>AC</t>
  </si>
  <si>
    <t>Weapons</t>
  </si>
  <si>
    <t>Cost</t>
  </si>
  <si>
    <t>Dmg</t>
  </si>
  <si>
    <t>Crit</t>
  </si>
  <si>
    <t>Range</t>
  </si>
  <si>
    <t>Weight</t>
  </si>
  <si>
    <t>Type</t>
  </si>
  <si>
    <t>Absorb</t>
  </si>
  <si>
    <t>-</t>
  </si>
  <si>
    <t>Initiative</t>
  </si>
  <si>
    <t>Properties:</t>
  </si>
  <si>
    <t>Stat</t>
  </si>
  <si>
    <t>FORT</t>
  </si>
  <si>
    <t>REF</t>
  </si>
  <si>
    <t>WILL</t>
  </si>
  <si>
    <t>P. Awareness</t>
  </si>
  <si>
    <t>Def</t>
  </si>
  <si>
    <t>Max Dex</t>
  </si>
  <si>
    <t>ACP</t>
  </si>
  <si>
    <t>Attributes</t>
  </si>
  <si>
    <t>Point Buy</t>
  </si>
  <si>
    <t>AP left:</t>
  </si>
  <si>
    <t>Bonus</t>
  </si>
  <si>
    <t>Racial</t>
  </si>
  <si>
    <t>Implant</t>
  </si>
  <si>
    <t>Min Con</t>
  </si>
  <si>
    <t>Effect</t>
  </si>
  <si>
    <t>STR</t>
  </si>
  <si>
    <t>DEX</t>
  </si>
  <si>
    <t>CON</t>
  </si>
  <si>
    <t>Inventory</t>
  </si>
  <si>
    <t>Description</t>
  </si>
  <si>
    <t>INT</t>
  </si>
  <si>
    <t>WIS</t>
  </si>
  <si>
    <t>CHA</t>
  </si>
  <si>
    <t>Skills</t>
  </si>
  <si>
    <t>Total SP</t>
  </si>
  <si>
    <t>SP Left:</t>
  </si>
  <si>
    <t>Trained</t>
  </si>
  <si>
    <t>Ranks</t>
  </si>
  <si>
    <t>Acrobatics</t>
  </si>
  <si>
    <t>N</t>
  </si>
  <si>
    <t>DEX*</t>
  </si>
  <si>
    <t>Astrogation</t>
  </si>
  <si>
    <t>Awareness</t>
  </si>
  <si>
    <t>Bluff</t>
  </si>
  <si>
    <t>Climb</t>
  </si>
  <si>
    <t>STR*</t>
  </si>
  <si>
    <t>Computer Use</t>
  </si>
  <si>
    <t>Craft</t>
  </si>
  <si>
    <t>Demolitions</t>
  </si>
  <si>
    <t>Disguise</t>
  </si>
  <si>
    <t>Forgery</t>
  </si>
  <si>
    <t>Intimidate</t>
  </si>
  <si>
    <t>Totals</t>
  </si>
  <si>
    <t>Experience</t>
  </si>
  <si>
    <t>Knowledge</t>
  </si>
  <si>
    <t>1 Major Plot Development</t>
  </si>
  <si>
    <t>1 level</t>
  </si>
  <si>
    <t xml:space="preserve">   Cultures</t>
  </si>
  <si>
    <t>Remaining Credits</t>
  </si>
  <si>
    <t>2 Minor Plot Developments</t>
  </si>
  <si>
    <t xml:space="preserve">   Engineering</t>
  </si>
  <si>
    <t>3 Personal Character Developments</t>
  </si>
  <si>
    <t xml:space="preserve">   History</t>
  </si>
  <si>
    <t>Feats</t>
  </si>
  <si>
    <t xml:space="preserve">   Jedi Lore</t>
  </si>
  <si>
    <t xml:space="preserve">   Politics</t>
  </si>
  <si>
    <t xml:space="preserve">   Science</t>
  </si>
  <si>
    <t xml:space="preserve">   Streetwise</t>
  </si>
  <si>
    <t xml:space="preserve">   Wilderness</t>
  </si>
  <si>
    <t>Medicine</t>
  </si>
  <si>
    <t>Persuade</t>
  </si>
  <si>
    <t>Pilot</t>
  </si>
  <si>
    <t>Repair</t>
  </si>
  <si>
    <t>Ride</t>
  </si>
  <si>
    <t>Security</t>
  </si>
  <si>
    <t>Sleight of Hand</t>
  </si>
  <si>
    <t>Stealth</t>
  </si>
  <si>
    <t>Survival</t>
  </si>
  <si>
    <t>Swim</t>
  </si>
  <si>
    <t>STR**</t>
  </si>
  <si>
    <t>Treat Injury</t>
  </si>
  <si>
    <t>Rank</t>
  </si>
  <si>
    <t>Skill Tricks</t>
  </si>
  <si>
    <t>Trick</t>
  </si>
  <si>
    <t>Passives</t>
  </si>
  <si>
    <t>Notes</t>
  </si>
  <si>
    <t>Mel Del Kor</t>
  </si>
  <si>
    <t>Kel Dor</t>
  </si>
  <si>
    <t>Scoundrel</t>
  </si>
  <si>
    <t>Armour (Light), Melee Weapons, Blaster Pistols, Blaster Rifles</t>
  </si>
  <si>
    <t>30ft</t>
  </si>
  <si>
    <t>Heavy Blaster</t>
  </si>
  <si>
    <t>1d10</t>
  </si>
  <si>
    <t>19-20 x2</t>
  </si>
  <si>
    <t>Energy</t>
  </si>
  <si>
    <t>Vibroblade</t>
  </si>
  <si>
    <t>Slashing</t>
  </si>
  <si>
    <t>/40</t>
  </si>
  <si>
    <t>Heavy Combat Armour</t>
  </si>
  <si>
    <t>Light</t>
  </si>
  <si>
    <t>Retinal Combat Implant</t>
  </si>
  <si>
    <t>+1 def, +1 awareness</t>
  </si>
  <si>
    <t>Energy Shield Unit</t>
  </si>
  <si>
    <t>10m 40pt Absorb shield vs Energy. Consumable, 5 Charges</t>
  </si>
  <si>
    <t>Aratech Sound Dampening Belt</t>
  </si>
  <si>
    <t>+2 Stealth</t>
  </si>
  <si>
    <t>3 left</t>
  </si>
  <si>
    <t>Basic Security Kit</t>
  </si>
  <si>
    <t>dodge penalty to security checks</t>
  </si>
  <si>
    <t>Medpac x2</t>
  </si>
  <si>
    <t>Y</t>
  </si>
  <si>
    <t>Combat Reflexes</t>
  </si>
  <si>
    <t>+1 dodge AC, +4 Initiative</t>
  </si>
  <si>
    <t>Power Attack</t>
  </si>
  <si>
    <t>+3 damage, -3 to hit, +1x crit multiplier. Chance of knockback 5ft DC BAB + STRx2</t>
  </si>
  <si>
    <t>Ilicit Deal</t>
  </si>
  <si>
    <t>+5 when dealing with stolen goods</t>
  </si>
  <si>
    <t>Sneak Attack</t>
  </si>
  <si>
    <t>1d6</t>
  </si>
  <si>
    <t>Expertise</t>
  </si>
  <si>
    <t>2 skills have effective rank bonus doubled</t>
  </si>
  <si>
    <t>2 Republic Blasters</t>
  </si>
  <si>
    <t>3 Republic Uniforms</t>
  </si>
  <si>
    <t>2 medpacs</t>
  </si>
  <si>
    <t>1 medical kit</t>
  </si>
  <si>
    <t>3 chemical units</t>
  </si>
  <si>
    <t>Ion Pistol</t>
  </si>
  <si>
    <t>1 Republic Blaster Rifle</t>
  </si>
  <si>
    <t>1 Ion Blaster Rifle</t>
  </si>
  <si>
    <t>1 RBR Worth of parts</t>
  </si>
  <si>
    <t>2 Vibroblades</t>
  </si>
  <si>
    <t>1 Ion Grenade</t>
  </si>
  <si>
    <t>18 chemical units</t>
  </si>
  <si>
    <t>3 astromech droids</t>
  </si>
  <si>
    <t>open these later</t>
  </si>
  <si>
    <t>1 protocol droid</t>
  </si>
  <si>
    <t>3 medpaks</t>
  </si>
  <si>
    <t>4 vibrocutters</t>
  </si>
  <si>
    <t>short, poor condition</t>
  </si>
  <si>
    <t>Energy shotgun thing</t>
  </si>
  <si>
    <t>Particle Array Gun +2 hit within 10ft, RI 10ft 1d12+2, -1dice size per RI</t>
  </si>
  <si>
    <t>relocking door upstairs</t>
  </si>
  <si>
    <t>locked side door upstairs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</si>
</sst>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\ #,##0\ "/>
    <numFmt numFmtId="165" formatCode="&quot;+&quot;0;&quot;-&quot;0;0"/>
    <numFmt numFmtId="166" formatCode="0\ \f\t."/>
  </numFmts>
  <fonts count="13" x14ac:knownFonts="1">
    <font>
      <sz val="11"/>
      <color theme="1"/>
      <name val="Calibri"/>
      <scheme val="minor"/>
    </font>
    <font>
      <b/>
      <u/>
      <sz val="24"/>
      <color rgb="FF1155CC"/>
      <name val="Calibri"/>
    </font>
    <font>
      <sz val="11"/>
      <color theme="1"/>
      <name val="Calibri"/>
      <scheme val="minor"/>
    </font>
    <font>
      <b/>
      <sz val="11"/>
      <color theme="1"/>
      <name val="Nunito"/>
    </font>
    <font>
      <sz val="11"/>
      <name val="Calibri"/>
    </font>
    <font>
      <sz val="11"/>
      <color theme="1"/>
      <name val="Nunito"/>
    </font>
    <font>
      <b/>
      <sz val="11"/>
      <color theme="1"/>
      <name val="Calibri"/>
      <scheme val="minor"/>
    </font>
    <font>
      <b/>
      <sz val="11"/>
      <color theme="1"/>
      <name val="Nunito"/>
    </font>
    <font>
      <sz val="12"/>
      <color theme="1"/>
      <name val="Nunito"/>
    </font>
    <font>
      <b/>
      <sz val="10"/>
      <color theme="1"/>
      <name val="Nunito"/>
    </font>
    <font>
      <b/>
      <sz val="12"/>
      <color theme="1"/>
      <name val="Nunito"/>
    </font>
    <font>
      <sz val="10"/>
      <color theme="1"/>
      <name val="Nunito"/>
    </font>
    <font>
      <sz val="11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/>
      <top style="thin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B7B7B7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000000"/>
      </bottom>
      <diagonal/>
    </border>
    <border>
      <left/>
      <right/>
      <top style="thin">
        <color rgb="FFB7B7B7"/>
      </top>
      <bottom style="thin">
        <color rgb="FF000000"/>
      </bottom>
      <diagonal/>
    </border>
    <border>
      <left/>
      <right style="thin">
        <color rgb="FF000000"/>
      </right>
      <top style="thin">
        <color rgb="FFB7B7B7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5" fillId="0" borderId="0" xfId="0" applyFont="1"/>
    <xf numFmtId="0" fontId="5" fillId="2" borderId="13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5" fillId="0" borderId="0" xfId="0" quotePrefix="1" applyFont="1" applyAlignment="1">
      <alignment horizontal="center"/>
    </xf>
    <xf numFmtId="165" fontId="5" fillId="2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166" fontId="5" fillId="2" borderId="17" xfId="0" applyNumberFormat="1" applyFont="1" applyFill="1" applyBorder="1" applyAlignment="1">
      <alignment horizontal="center"/>
    </xf>
    <xf numFmtId="0" fontId="5" fillId="2" borderId="17" xfId="0" applyFont="1" applyFill="1" applyBorder="1"/>
    <xf numFmtId="0" fontId="5" fillId="0" borderId="19" xfId="0" applyFont="1" applyBorder="1"/>
    <xf numFmtId="0" fontId="11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2" fillId="0" borderId="23" xfId="0" applyFont="1" applyBorder="1"/>
    <xf numFmtId="165" fontId="10" fillId="0" borderId="0" xfId="0" applyNumberFormat="1" applyFont="1" applyAlignment="1">
      <alignment horizontal="center"/>
    </xf>
    <xf numFmtId="0" fontId="9" fillId="0" borderId="0" xfId="0" applyFont="1"/>
    <xf numFmtId="1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2" borderId="5" xfId="0" applyFont="1" applyFill="1" applyBorder="1"/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12" fillId="2" borderId="5" xfId="0" applyFont="1" applyFill="1" applyBorder="1" applyAlignment="1">
      <alignment horizontal="center"/>
    </xf>
    <xf numFmtId="164" fontId="5" fillId="0" borderId="0" xfId="0" applyNumberFormat="1" applyFont="1"/>
    <xf numFmtId="0" fontId="1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4" xfId="0" applyFont="1" applyBorder="1" applyAlignment="1">
      <alignment horizontal="center" wrapText="1"/>
    </xf>
    <xf numFmtId="0" fontId="0" fillId="0" borderId="0" xfId="0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2" fillId="0" borderId="0" xfId="0" applyFont="1" applyAlignment="1">
      <alignment wrapText="1"/>
    </xf>
    <xf numFmtId="0" fontId="3" fillId="0" borderId="0" xfId="0" applyFont="1"/>
    <xf numFmtId="0" fontId="5" fillId="2" borderId="10" xfId="0" applyFont="1" applyFill="1" applyBorder="1"/>
    <xf numFmtId="0" fontId="4" fillId="0" borderId="11" xfId="0" applyFont="1" applyBorder="1"/>
    <xf numFmtId="0" fontId="4" fillId="0" borderId="12" xfId="0" applyFont="1" applyBorder="1"/>
    <xf numFmtId="0" fontId="5" fillId="0" borderId="0" xfId="0" applyFont="1"/>
    <xf numFmtId="0" fontId="7" fillId="0" borderId="0" xfId="0" applyFont="1"/>
    <xf numFmtId="0" fontId="3" fillId="0" borderId="0" xfId="0" quotePrefix="1" applyFont="1"/>
    <xf numFmtId="0" fontId="10" fillId="0" borderId="0" xfId="0" applyFont="1" applyAlignment="1">
      <alignment horizontal="center"/>
    </xf>
    <xf numFmtId="164" fontId="8" fillId="2" borderId="10" xfId="0" applyNumberFormat="1" applyFont="1" applyFill="1" applyBorder="1"/>
    <xf numFmtId="0" fontId="9" fillId="0" borderId="0" xfId="0" applyFont="1" applyAlignment="1">
      <alignment horizontal="center" vertical="center"/>
    </xf>
    <xf numFmtId="0" fontId="5" fillId="2" borderId="14" xfId="0" applyFont="1" applyFill="1" applyBorder="1"/>
    <xf numFmtId="0" fontId="4" fillId="0" borderId="15" xfId="0" applyFont="1" applyBorder="1"/>
    <xf numFmtId="164" fontId="5" fillId="2" borderId="16" xfId="0" applyNumberFormat="1" applyFont="1" applyFill="1" applyBorder="1"/>
    <xf numFmtId="0" fontId="5" fillId="2" borderId="16" xfId="0" applyFont="1" applyFill="1" applyBorder="1" applyAlignment="1">
      <alignment horizontal="center"/>
    </xf>
    <xf numFmtId="0" fontId="4" fillId="0" borderId="18" xfId="0" applyFont="1" applyBorder="1"/>
    <xf numFmtId="0" fontId="5" fillId="2" borderId="20" xfId="0" applyFont="1" applyFill="1" applyBorder="1" applyAlignment="1">
      <alignment horizontal="left"/>
    </xf>
    <xf numFmtId="0" fontId="4" fillId="0" borderId="21" xfId="0" applyFont="1" applyBorder="1"/>
    <xf numFmtId="0" fontId="4" fillId="0" borderId="22" xfId="0" applyFont="1" applyBorder="1"/>
    <xf numFmtId="0" fontId="7" fillId="2" borderId="10" xfId="0" applyFont="1" applyFill="1" applyBorder="1"/>
    <xf numFmtId="164" fontId="5" fillId="2" borderId="10" xfId="0" applyNumberFormat="1" applyFont="1" applyFill="1" applyBorder="1"/>
    <xf numFmtId="0" fontId="5" fillId="2" borderId="10" xfId="0" applyFont="1" applyFill="1" applyBorder="1" applyAlignment="1">
      <alignment horizontal="center"/>
    </xf>
    <xf numFmtId="0" fontId="12" fillId="2" borderId="10" xfId="0" applyFont="1" applyFill="1" applyBorder="1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3" fillId="0" borderId="0" xfId="0" applyNumberFormat="1" applyFont="1"/>
    <xf numFmtId="0" fontId="12" fillId="2" borderId="10" xfId="0" quotePrefix="1" applyFont="1" applyFill="1" applyBorder="1"/>
  </cellXfs>
  <cellStyles count="1">
    <cellStyle name="Normal" xfId="0" builtinId="0"/>
  </cellStyles>
  <dxfs count="2">
    <dxf>
      <fill>
        <patternFill patternType="solid">
          <fgColor rgb="FF00FF99"/>
          <bgColor rgb="FF00FF99"/>
        </patternFill>
      </fill>
    </dxf>
    <dxf>
      <fill>
        <patternFill patternType="solid">
          <fgColor rgb="FF00FF99"/>
          <bgColor rgb="FF00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4J8tvQ6V3b4mLcLM_AeqsWHwqteC-LMky-wsJqVab9E/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D23"/>
  <sheetViews>
    <sheetView tabSelected="1" workbookViewId="0">
      <selection activeCell="H15" sqref="H15"/>
    </sheetView>
  </sheetViews>
  <sheetFormatPr defaultColWidth="14.453125" defaultRowHeight="15" customHeight="1" x14ac:dyDescent="0.35"/>
  <sheetData>
    <row r="2" spans="2:4" ht="28" customHeight="1" x14ac:dyDescent="0.7">
      <c r="B2" s="1" t="s">
        <v>0</v>
      </c>
    </row>
    <row r="3" spans="2:4" x14ac:dyDescent="0.35">
      <c r="B3" s="2" t="s">
        <v>1</v>
      </c>
    </row>
    <row r="4" spans="2:4" x14ac:dyDescent="0.35">
      <c r="B4" s="2" t="s">
        <v>2</v>
      </c>
    </row>
    <row r="7" spans="2:4" ht="15" customHeight="1" x14ac:dyDescent="0.5">
      <c r="B7" s="37" t="s">
        <v>3</v>
      </c>
      <c r="C7" s="38"/>
      <c r="D7" s="39"/>
    </row>
    <row r="8" spans="2:4" ht="15" customHeight="1" x14ac:dyDescent="0.5">
      <c r="B8" s="3" t="s">
        <v>4</v>
      </c>
      <c r="C8" s="4"/>
      <c r="D8" s="5" t="s">
        <v>5</v>
      </c>
    </row>
    <row r="9" spans="2:4" x14ac:dyDescent="0.35">
      <c r="B9" s="40" t="s">
        <v>6</v>
      </c>
      <c r="C9" s="41"/>
      <c r="D9" s="42"/>
    </row>
    <row r="10" spans="2:4" x14ac:dyDescent="0.35">
      <c r="B10" s="43"/>
      <c r="C10" s="44"/>
      <c r="D10" s="45"/>
    </row>
    <row r="12" spans="2:4" x14ac:dyDescent="0.35">
      <c r="B12" s="46" t="s">
        <v>7</v>
      </c>
      <c r="C12" s="41"/>
      <c r="D12" s="41"/>
    </row>
    <row r="13" spans="2:4" ht="15" customHeight="1" x14ac:dyDescent="0.35">
      <c r="B13" s="41"/>
      <c r="C13" s="41"/>
      <c r="D13" s="41"/>
    </row>
    <row r="14" spans="2:4" ht="15" customHeight="1" x14ac:dyDescent="0.35">
      <c r="B14" s="41"/>
      <c r="C14" s="41"/>
      <c r="D14" s="41"/>
    </row>
    <row r="16" spans="2:4" x14ac:dyDescent="0.35">
      <c r="B16" s="6" t="s">
        <v>8</v>
      </c>
    </row>
    <row r="17" spans="2:2" x14ac:dyDescent="0.35">
      <c r="B17" s="2" t="s">
        <v>9</v>
      </c>
    </row>
    <row r="18" spans="2:2" x14ac:dyDescent="0.35">
      <c r="B18" s="2" t="s">
        <v>10</v>
      </c>
    </row>
    <row r="19" spans="2:2" x14ac:dyDescent="0.35">
      <c r="B19" s="2" t="s">
        <v>11</v>
      </c>
    </row>
    <row r="20" spans="2:2" x14ac:dyDescent="0.35">
      <c r="B20" s="2" t="s">
        <v>12</v>
      </c>
    </row>
    <row r="22" spans="2:2" x14ac:dyDescent="0.35">
      <c r="B22" s="6" t="s">
        <v>13</v>
      </c>
    </row>
    <row r="23" spans="2:2" x14ac:dyDescent="0.35">
      <c r="B23" s="2" t="s">
        <v>14</v>
      </c>
    </row>
  </sheetData>
  <mergeCells count="3">
    <mergeCell ref="B7:D7"/>
    <mergeCell ref="B9:D10"/>
    <mergeCell ref="B12:D14"/>
  </mergeCells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10"/>
  <sheetViews>
    <sheetView workbookViewId="0"/>
  </sheetViews>
  <sheetFormatPr defaultColWidth="14.453125" defaultRowHeight="15" customHeight="1" x14ac:dyDescent="0.35"/>
  <cols>
    <col min="1" max="1" width="13.26953125" customWidth="1"/>
    <col min="2" max="10" width="8.7265625" customWidth="1"/>
    <col min="11" max="11" width="16.54296875" customWidth="1"/>
    <col min="12" max="12" width="15.54296875" customWidth="1"/>
    <col min="13" max="23" width="8.7265625" customWidth="1"/>
  </cols>
  <sheetData>
    <row r="1" spans="1:23" ht="14.25" customHeight="1" x14ac:dyDescent="0.5">
      <c r="A1" s="7" t="s">
        <v>15</v>
      </c>
      <c r="B1" s="48"/>
      <c r="C1" s="49"/>
      <c r="D1" s="7" t="s">
        <v>16</v>
      </c>
      <c r="E1" s="48"/>
      <c r="F1" s="49"/>
      <c r="G1" s="7" t="s">
        <v>17</v>
      </c>
      <c r="H1" s="48"/>
      <c r="I1" s="49"/>
      <c r="J1" s="8"/>
      <c r="K1" s="52" t="s">
        <v>18</v>
      </c>
      <c r="L1" s="41"/>
      <c r="M1" s="48"/>
      <c r="N1" s="50"/>
      <c r="O1" s="50"/>
      <c r="P1" s="50"/>
      <c r="Q1" s="50"/>
      <c r="R1" s="50"/>
      <c r="S1" s="50"/>
      <c r="T1" s="50"/>
      <c r="U1" s="50"/>
      <c r="V1" s="49"/>
      <c r="W1" s="8"/>
    </row>
    <row r="2" spans="1:23" ht="14.25" customHeight="1" x14ac:dyDescent="0.5">
      <c r="A2" s="7" t="s">
        <v>19</v>
      </c>
      <c r="B2" s="9"/>
      <c r="C2" s="8"/>
      <c r="D2" s="7" t="s">
        <v>20</v>
      </c>
      <c r="E2" s="10"/>
      <c r="F2" s="8"/>
      <c r="G2" s="8"/>
      <c r="H2" s="8"/>
      <c r="I2" s="8"/>
      <c r="J2" s="8"/>
      <c r="K2" s="51"/>
      <c r="L2" s="41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4.25" customHeight="1" x14ac:dyDescent="0.5">
      <c r="A3" s="8"/>
      <c r="B3" s="8"/>
      <c r="C3" s="8"/>
      <c r="D3" s="8"/>
      <c r="E3" s="8"/>
      <c r="F3" s="8"/>
      <c r="G3" s="8"/>
      <c r="H3" s="8"/>
      <c r="I3" s="8"/>
      <c r="J3" s="8"/>
      <c r="K3" s="47" t="s">
        <v>21</v>
      </c>
      <c r="L3" s="41"/>
      <c r="M3" s="55"/>
      <c r="N3" s="49"/>
      <c r="O3" s="8"/>
      <c r="P3" s="8"/>
      <c r="Q3" s="8"/>
      <c r="R3" s="8"/>
      <c r="S3" s="8"/>
      <c r="T3" s="8"/>
      <c r="U3" s="8"/>
      <c r="V3" s="8"/>
      <c r="W3" s="8"/>
    </row>
    <row r="4" spans="1:23" ht="14.25" customHeight="1" x14ac:dyDescent="0.5">
      <c r="A4" s="7"/>
      <c r="B4" s="8"/>
      <c r="C4" s="8"/>
      <c r="D4" s="12" t="s">
        <v>17</v>
      </c>
      <c r="E4" s="12" t="s">
        <v>22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4.25" customHeight="1" x14ac:dyDescent="0.5">
      <c r="A5" s="7" t="s">
        <v>23</v>
      </c>
      <c r="B5" s="13">
        <f t="shared" ref="B5:B6" si="0">D5+E5</f>
        <v>-1</v>
      </c>
      <c r="C5" s="14" t="s">
        <v>24</v>
      </c>
      <c r="D5" s="10"/>
      <c r="E5" s="13">
        <f>C26</f>
        <v>-1</v>
      </c>
      <c r="F5" s="47" t="s">
        <v>25</v>
      </c>
      <c r="G5" s="41"/>
      <c r="H5" s="15"/>
      <c r="I5" s="8"/>
      <c r="J5" s="8"/>
      <c r="K5" s="11"/>
      <c r="L5" s="12" t="s">
        <v>26</v>
      </c>
      <c r="M5" s="16"/>
      <c r="N5" s="12" t="s">
        <v>27</v>
      </c>
      <c r="O5" s="12" t="s">
        <v>22</v>
      </c>
      <c r="P5" s="12" t="s">
        <v>28</v>
      </c>
      <c r="Q5" s="8"/>
      <c r="R5" s="8"/>
      <c r="S5" s="8"/>
      <c r="T5" s="8"/>
      <c r="U5" s="8"/>
      <c r="V5" s="8"/>
      <c r="W5" s="8"/>
    </row>
    <row r="6" spans="1:23" ht="14.25" customHeight="1" x14ac:dyDescent="0.5">
      <c r="A6" s="7" t="s">
        <v>29</v>
      </c>
      <c r="B6" s="13">
        <f t="shared" si="0"/>
        <v>-1</v>
      </c>
      <c r="C6" s="14" t="s">
        <v>24</v>
      </c>
      <c r="D6" s="10"/>
      <c r="E6" s="13">
        <f>C25</f>
        <v>-1</v>
      </c>
      <c r="F6" s="47" t="s">
        <v>30</v>
      </c>
      <c r="G6" s="41"/>
      <c r="H6" s="15"/>
      <c r="I6" s="8"/>
      <c r="J6" s="8"/>
      <c r="K6" s="11" t="s">
        <v>31</v>
      </c>
      <c r="L6" s="17">
        <f t="shared" ref="L6:L7" si="1">N6+O6+P6</f>
        <v>-1</v>
      </c>
      <c r="M6" s="14" t="s">
        <v>24</v>
      </c>
      <c r="N6" s="17">
        <f>H5</f>
        <v>0</v>
      </c>
      <c r="O6" s="17">
        <f t="shared" ref="O6:O7" si="2">C23</f>
        <v>-1</v>
      </c>
      <c r="P6" s="15"/>
      <c r="Q6" s="8"/>
      <c r="R6" s="8"/>
      <c r="S6" s="8"/>
      <c r="T6" s="8"/>
      <c r="U6" s="8"/>
      <c r="V6" s="8"/>
      <c r="W6" s="8"/>
    </row>
    <row r="7" spans="1:23" ht="14.25" customHeight="1" x14ac:dyDescent="0.5">
      <c r="A7" s="7"/>
      <c r="B7" s="8"/>
      <c r="C7" s="8"/>
      <c r="D7" s="12"/>
      <c r="E7" s="12"/>
      <c r="F7" s="8"/>
      <c r="G7" s="8"/>
      <c r="H7" s="8"/>
      <c r="I7" s="8"/>
      <c r="J7" s="8"/>
      <c r="K7" s="7" t="s">
        <v>32</v>
      </c>
      <c r="L7" s="17">
        <f t="shared" si="1"/>
        <v>-1</v>
      </c>
      <c r="M7" s="14" t="s">
        <v>24</v>
      </c>
      <c r="N7" s="17">
        <f>H5</f>
        <v>0</v>
      </c>
      <c r="O7" s="17">
        <f t="shared" si="2"/>
        <v>-1</v>
      </c>
      <c r="P7" s="15"/>
      <c r="Q7" s="8"/>
      <c r="R7" s="8"/>
      <c r="S7" s="8"/>
      <c r="T7" s="8"/>
      <c r="U7" s="8"/>
      <c r="V7" s="8"/>
      <c r="W7" s="8"/>
    </row>
    <row r="8" spans="1:23" ht="14.25" customHeight="1" x14ac:dyDescent="0.5">
      <c r="A8" s="7" t="s">
        <v>33</v>
      </c>
      <c r="B8" s="18">
        <f>(D6+C25)*B2</f>
        <v>0</v>
      </c>
      <c r="C8" s="8"/>
      <c r="D8" s="12" t="s">
        <v>34</v>
      </c>
      <c r="E8" s="12" t="s">
        <v>35</v>
      </c>
      <c r="F8" s="12" t="s">
        <v>36</v>
      </c>
      <c r="G8" s="12" t="s">
        <v>37</v>
      </c>
      <c r="H8" s="12" t="s">
        <v>28</v>
      </c>
      <c r="I8" s="8"/>
      <c r="J8" s="8"/>
      <c r="K8" s="7"/>
      <c r="L8" s="7"/>
      <c r="M8" s="8"/>
      <c r="N8" s="12"/>
      <c r="O8" s="12"/>
      <c r="P8" s="12"/>
      <c r="Q8" s="8"/>
      <c r="R8" s="8"/>
      <c r="S8" s="8"/>
      <c r="T8" s="8"/>
      <c r="U8" s="8"/>
      <c r="V8" s="8"/>
      <c r="W8" s="8"/>
    </row>
    <row r="9" spans="1:23" ht="14.25" customHeight="1" x14ac:dyDescent="0.5">
      <c r="A9" s="7" t="s">
        <v>38</v>
      </c>
      <c r="B9" s="18">
        <f t="shared" ref="B9:B11" si="3">SUM(D9:H9)</f>
        <v>9</v>
      </c>
      <c r="C9" s="14" t="s">
        <v>24</v>
      </c>
      <c r="D9" s="16">
        <v>10</v>
      </c>
      <c r="E9" s="13">
        <f>O20</f>
        <v>0</v>
      </c>
      <c r="F9" s="13">
        <f>C24</f>
        <v>-1</v>
      </c>
      <c r="G9" s="13">
        <f>H6</f>
        <v>0</v>
      </c>
      <c r="H9" s="15"/>
      <c r="I9" s="8"/>
      <c r="J9" s="8"/>
      <c r="K9" s="47" t="s">
        <v>39</v>
      </c>
      <c r="L9" s="41"/>
      <c r="M9" s="56" t="s">
        <v>40</v>
      </c>
      <c r="N9" s="41"/>
      <c r="O9" s="56" t="s">
        <v>41</v>
      </c>
      <c r="P9" s="41"/>
      <c r="Q9" s="56" t="s">
        <v>42</v>
      </c>
      <c r="R9" s="41"/>
      <c r="S9" s="12" t="s">
        <v>43</v>
      </c>
      <c r="T9" s="12" t="s">
        <v>44</v>
      </c>
      <c r="U9" s="56" t="s">
        <v>45</v>
      </c>
      <c r="V9" s="41"/>
      <c r="W9" s="8"/>
    </row>
    <row r="10" spans="1:23" ht="14.25" customHeight="1" x14ac:dyDescent="0.5">
      <c r="A10" s="7" t="s">
        <v>46</v>
      </c>
      <c r="B10" s="18">
        <f t="shared" si="3"/>
        <v>0</v>
      </c>
      <c r="C10" s="14" t="s">
        <v>24</v>
      </c>
      <c r="D10" s="16">
        <v>0</v>
      </c>
      <c r="E10" s="13">
        <f>P20</f>
        <v>0</v>
      </c>
      <c r="F10" s="16" t="s">
        <v>47</v>
      </c>
      <c r="G10" s="13" t="s">
        <v>47</v>
      </c>
      <c r="H10" s="15"/>
      <c r="I10" s="8"/>
      <c r="J10" s="8"/>
      <c r="K10" s="57"/>
      <c r="L10" s="58"/>
      <c r="M10" s="59"/>
      <c r="N10" s="58"/>
      <c r="O10" s="60"/>
      <c r="P10" s="58"/>
      <c r="Q10" s="60"/>
      <c r="R10" s="58"/>
      <c r="S10" s="19"/>
      <c r="T10" s="20"/>
      <c r="U10" s="60"/>
      <c r="V10" s="61"/>
      <c r="W10" s="8"/>
    </row>
    <row r="11" spans="1:23" ht="14.25" customHeight="1" x14ac:dyDescent="0.5">
      <c r="A11" s="7" t="s">
        <v>48</v>
      </c>
      <c r="B11" s="18">
        <f t="shared" si="3"/>
        <v>-1</v>
      </c>
      <c r="C11" s="14" t="s">
        <v>24</v>
      </c>
      <c r="D11" s="16">
        <v>0</v>
      </c>
      <c r="E11" s="13" t="s">
        <v>47</v>
      </c>
      <c r="F11" s="13">
        <f>C24</f>
        <v>-1</v>
      </c>
      <c r="G11" s="13" t="s">
        <v>47</v>
      </c>
      <c r="H11" s="15"/>
      <c r="I11" s="8"/>
      <c r="J11" s="8"/>
      <c r="K11" s="21" t="s">
        <v>49</v>
      </c>
      <c r="L11" s="62"/>
      <c r="M11" s="63"/>
      <c r="N11" s="63"/>
      <c r="O11" s="63"/>
      <c r="P11" s="63"/>
      <c r="Q11" s="63"/>
      <c r="R11" s="63"/>
      <c r="S11" s="63"/>
      <c r="T11" s="63"/>
      <c r="U11" s="63"/>
      <c r="V11" s="64"/>
      <c r="W11" s="8"/>
    </row>
    <row r="12" spans="1:23" ht="14.25" customHeight="1" x14ac:dyDescent="0.5">
      <c r="F12" s="8"/>
      <c r="G12" s="8"/>
      <c r="H12" s="8"/>
      <c r="I12" s="8"/>
      <c r="J12" s="8"/>
      <c r="K12" s="57"/>
      <c r="L12" s="58"/>
      <c r="M12" s="59"/>
      <c r="N12" s="58"/>
      <c r="O12" s="60"/>
      <c r="P12" s="58"/>
      <c r="Q12" s="60"/>
      <c r="R12" s="58"/>
      <c r="S12" s="19"/>
      <c r="T12" s="20"/>
      <c r="U12" s="60"/>
      <c r="V12" s="61"/>
      <c r="W12" s="8"/>
    </row>
    <row r="13" spans="1:23" ht="14.25" customHeight="1" x14ac:dyDescent="0.5">
      <c r="A13" s="8"/>
      <c r="B13" s="12" t="s">
        <v>26</v>
      </c>
      <c r="C13" s="22"/>
      <c r="D13" s="12" t="s">
        <v>17</v>
      </c>
      <c r="E13" s="12" t="s">
        <v>50</v>
      </c>
      <c r="F13" s="12" t="s">
        <v>28</v>
      </c>
      <c r="G13" s="8"/>
      <c r="H13" s="23"/>
      <c r="I13" s="24"/>
      <c r="J13" s="25"/>
      <c r="K13" s="21" t="s">
        <v>49</v>
      </c>
      <c r="L13" s="62"/>
      <c r="M13" s="63"/>
      <c r="N13" s="63"/>
      <c r="O13" s="63"/>
      <c r="P13" s="63"/>
      <c r="Q13" s="63"/>
      <c r="R13" s="63"/>
      <c r="S13" s="63"/>
      <c r="T13" s="63"/>
      <c r="U13" s="63"/>
      <c r="V13" s="64"/>
      <c r="W13" s="8"/>
    </row>
    <row r="14" spans="1:23" ht="14.25" customHeight="1" x14ac:dyDescent="0.5">
      <c r="A14" s="7" t="s">
        <v>51</v>
      </c>
      <c r="B14" s="26">
        <f t="shared" ref="B14:B16" si="4">D14+E14+F14</f>
        <v>-1</v>
      </c>
      <c r="C14" s="14" t="s">
        <v>24</v>
      </c>
      <c r="D14" s="15"/>
      <c r="E14" s="13">
        <f>C25</f>
        <v>-1</v>
      </c>
      <c r="F14" s="15"/>
      <c r="G14" s="8"/>
      <c r="H14" s="8"/>
      <c r="I14" s="8"/>
      <c r="J14" s="8"/>
      <c r="K14" s="57"/>
      <c r="L14" s="58"/>
      <c r="M14" s="59"/>
      <c r="N14" s="58"/>
      <c r="O14" s="60"/>
      <c r="P14" s="58"/>
      <c r="Q14" s="60"/>
      <c r="R14" s="58"/>
      <c r="S14" s="19"/>
      <c r="T14" s="20"/>
      <c r="U14" s="60"/>
      <c r="V14" s="61"/>
      <c r="W14" s="8"/>
    </row>
    <row r="15" spans="1:23" ht="14.25" customHeight="1" x14ac:dyDescent="0.5">
      <c r="A15" s="7" t="s">
        <v>52</v>
      </c>
      <c r="B15" s="26">
        <f t="shared" si="4"/>
        <v>-1</v>
      </c>
      <c r="C15" s="14" t="s">
        <v>24</v>
      </c>
      <c r="D15" s="15"/>
      <c r="E15" s="13">
        <f>C24</f>
        <v>-1</v>
      </c>
      <c r="F15" s="15"/>
      <c r="G15" s="8"/>
      <c r="H15" s="8"/>
      <c r="I15" s="8"/>
      <c r="J15" s="8"/>
      <c r="K15" s="21" t="s">
        <v>49</v>
      </c>
      <c r="L15" s="62"/>
      <c r="M15" s="63"/>
      <c r="N15" s="63"/>
      <c r="O15" s="63"/>
      <c r="P15" s="63"/>
      <c r="Q15" s="63"/>
      <c r="R15" s="63"/>
      <c r="S15" s="63"/>
      <c r="T15" s="63"/>
      <c r="U15" s="63"/>
      <c r="V15" s="64"/>
      <c r="W15" s="8"/>
    </row>
    <row r="16" spans="1:23" ht="14.25" customHeight="1" x14ac:dyDescent="0.5">
      <c r="A16" s="7" t="s">
        <v>53</v>
      </c>
      <c r="B16" s="26">
        <f t="shared" si="4"/>
        <v>-1</v>
      </c>
      <c r="C16" s="14" t="s">
        <v>24</v>
      </c>
      <c r="D16" s="15"/>
      <c r="E16" s="13">
        <f>C27</f>
        <v>-1</v>
      </c>
      <c r="F16" s="15"/>
      <c r="G16" s="8"/>
      <c r="H16" s="8"/>
      <c r="I16" s="8"/>
      <c r="J16" s="8"/>
      <c r="K16" s="57"/>
      <c r="L16" s="58"/>
      <c r="M16" s="59"/>
      <c r="N16" s="58"/>
      <c r="O16" s="60"/>
      <c r="P16" s="58"/>
      <c r="Q16" s="60"/>
      <c r="R16" s="58"/>
      <c r="S16" s="19"/>
      <c r="T16" s="20"/>
      <c r="U16" s="60"/>
      <c r="V16" s="61"/>
      <c r="W16" s="8"/>
    </row>
    <row r="17" spans="1:23" ht="14.25" customHeight="1" x14ac:dyDescent="0.5">
      <c r="A17" s="8"/>
      <c r="B17" s="8"/>
      <c r="C17" s="8"/>
      <c r="D17" s="8"/>
      <c r="E17" s="8"/>
      <c r="F17" s="8"/>
      <c r="G17" s="8"/>
      <c r="H17" s="8"/>
      <c r="I17" s="8"/>
      <c r="J17" s="8"/>
      <c r="K17" s="21" t="s">
        <v>49</v>
      </c>
      <c r="L17" s="62"/>
      <c r="M17" s="63"/>
      <c r="N17" s="63"/>
      <c r="O17" s="63"/>
      <c r="P17" s="63"/>
      <c r="Q17" s="63"/>
      <c r="R17" s="63"/>
      <c r="S17" s="63"/>
      <c r="T17" s="63"/>
      <c r="U17" s="63"/>
      <c r="V17" s="64"/>
      <c r="W17" s="8"/>
    </row>
    <row r="18" spans="1:23" ht="14.25" customHeight="1" x14ac:dyDescent="0.5">
      <c r="A18" s="27" t="s">
        <v>54</v>
      </c>
      <c r="B18" s="28">
        <f>D18+E18</f>
        <v>9</v>
      </c>
      <c r="C18" s="14" t="s">
        <v>24</v>
      </c>
      <c r="D18" s="16">
        <v>10</v>
      </c>
      <c r="E18" s="13">
        <f>C35</f>
        <v>-1</v>
      </c>
      <c r="J18" s="8"/>
      <c r="W18" s="8"/>
    </row>
    <row r="19" spans="1:23" ht="14.25" customHeight="1" x14ac:dyDescent="0.5">
      <c r="J19" s="8"/>
      <c r="K19" s="52" t="s">
        <v>35</v>
      </c>
      <c r="L19" s="41"/>
      <c r="M19" s="56" t="s">
        <v>40</v>
      </c>
      <c r="N19" s="41"/>
      <c r="O19" s="12" t="s">
        <v>55</v>
      </c>
      <c r="P19" s="12" t="s">
        <v>46</v>
      </c>
      <c r="Q19" s="12" t="s">
        <v>56</v>
      </c>
      <c r="R19" s="12" t="s">
        <v>57</v>
      </c>
      <c r="S19" s="12" t="s">
        <v>44</v>
      </c>
      <c r="T19" s="56" t="s">
        <v>45</v>
      </c>
      <c r="U19" s="41"/>
      <c r="V19" s="8"/>
      <c r="W19" s="8"/>
    </row>
    <row r="20" spans="1:23" ht="14.25" customHeight="1" x14ac:dyDescent="0.5">
      <c r="A20" s="54" t="s">
        <v>58</v>
      </c>
      <c r="B20" s="41"/>
      <c r="C20" s="8" t="s">
        <v>59</v>
      </c>
      <c r="D20" s="8"/>
      <c r="E20" s="10">
        <v>30</v>
      </c>
      <c r="F20" s="8"/>
      <c r="G20" s="8" t="s">
        <v>60</v>
      </c>
      <c r="H20" s="29">
        <f>E20  - SUM(F23:F28)</f>
        <v>30</v>
      </c>
      <c r="I20" s="8"/>
      <c r="J20" s="8"/>
      <c r="K20" s="65"/>
      <c r="L20" s="49"/>
      <c r="M20" s="66"/>
      <c r="N20" s="49"/>
      <c r="O20" s="15"/>
      <c r="P20" s="15"/>
      <c r="Q20" s="15"/>
      <c r="R20" s="15"/>
      <c r="S20" s="30"/>
      <c r="T20" s="67"/>
      <c r="U20" s="49"/>
      <c r="V20" s="8"/>
      <c r="W20" s="8"/>
    </row>
    <row r="21" spans="1:23" ht="14.25" customHeight="1" x14ac:dyDescent="0.5">
      <c r="A21" s="8"/>
      <c r="B21" s="8"/>
      <c r="C21" s="8"/>
      <c r="D21" s="8"/>
      <c r="E21" s="8"/>
      <c r="F21" s="8"/>
      <c r="G21" s="8"/>
      <c r="H21" s="8"/>
      <c r="I21" s="8"/>
      <c r="J21" s="8"/>
      <c r="W21" s="8"/>
    </row>
    <row r="22" spans="1:23" ht="14.25" customHeight="1" x14ac:dyDescent="0.5">
      <c r="A22" s="8"/>
      <c r="B22" s="12" t="s">
        <v>26</v>
      </c>
      <c r="C22" s="12" t="s">
        <v>61</v>
      </c>
      <c r="D22" s="31"/>
      <c r="E22" s="12" t="s">
        <v>34</v>
      </c>
      <c r="F22" s="12" t="s">
        <v>40</v>
      </c>
      <c r="G22" s="12" t="s">
        <v>62</v>
      </c>
      <c r="H22" s="12" t="s">
        <v>28</v>
      </c>
      <c r="I22" s="8"/>
      <c r="J22" s="23"/>
      <c r="K22" s="47" t="s">
        <v>63</v>
      </c>
      <c r="L22" s="41"/>
      <c r="M22" s="69" t="s">
        <v>40</v>
      </c>
      <c r="N22" s="41"/>
      <c r="O22" s="11" t="s">
        <v>64</v>
      </c>
      <c r="P22" s="47" t="s">
        <v>65</v>
      </c>
      <c r="Q22" s="41"/>
      <c r="R22" s="41"/>
      <c r="S22" s="41"/>
      <c r="T22" s="41"/>
      <c r="U22" s="41"/>
      <c r="V22" s="41"/>
      <c r="W22" s="8"/>
    </row>
    <row r="23" spans="1:23" ht="14.25" customHeight="1" x14ac:dyDescent="0.5">
      <c r="A23" s="8" t="s">
        <v>66</v>
      </c>
      <c r="B23" s="26">
        <f t="shared" ref="B23:B28" si="5">E23+G23</f>
        <v>8</v>
      </c>
      <c r="C23" s="26">
        <f t="shared" ref="C23:C28" si="6">_xlfn.FLOOR.MATH((B23-10)/2)</f>
        <v>-1</v>
      </c>
      <c r="D23" s="14" t="s">
        <v>24</v>
      </c>
      <c r="E23" s="10">
        <v>8</v>
      </c>
      <c r="F23" s="16">
        <f t="shared" ref="F23:F28" si="7">IF(E23&lt;8, "N/A", IF((E23)&lt;=14,E23-8,IF(E23&lt;=16,((E23-14)*2)+6, IF(E23 &lt;=18, ( (E23-16)*3)+10,"N/A"))))</f>
        <v>0</v>
      </c>
      <c r="G23" s="15"/>
      <c r="H23" s="15"/>
      <c r="I23" s="8"/>
      <c r="J23" s="8"/>
      <c r="K23" s="65"/>
      <c r="L23" s="49"/>
      <c r="M23" s="66"/>
      <c r="N23" s="49"/>
      <c r="O23" s="10"/>
      <c r="P23" s="68"/>
      <c r="Q23" s="50"/>
      <c r="R23" s="50"/>
      <c r="S23" s="50"/>
      <c r="T23" s="50"/>
      <c r="U23" s="50"/>
      <c r="V23" s="49"/>
      <c r="W23" s="8"/>
    </row>
    <row r="24" spans="1:23" ht="14.25" customHeight="1" x14ac:dyDescent="0.5">
      <c r="A24" s="8" t="s">
        <v>67</v>
      </c>
      <c r="B24" s="26">
        <f t="shared" si="5"/>
        <v>8</v>
      </c>
      <c r="C24" s="26">
        <f t="shared" si="6"/>
        <v>-1</v>
      </c>
      <c r="D24" s="14" t="s">
        <v>24</v>
      </c>
      <c r="E24" s="10">
        <v>8</v>
      </c>
      <c r="F24" s="16">
        <f t="shared" si="7"/>
        <v>0</v>
      </c>
      <c r="G24" s="15"/>
      <c r="H24" s="15"/>
      <c r="I24" s="8"/>
      <c r="J24" s="8"/>
      <c r="K24" s="51"/>
      <c r="L24" s="4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4.25" customHeight="1" x14ac:dyDescent="0.5">
      <c r="A25" s="8" t="s">
        <v>68</v>
      </c>
      <c r="B25" s="26">
        <f t="shared" si="5"/>
        <v>8</v>
      </c>
      <c r="C25" s="26">
        <f t="shared" si="6"/>
        <v>-1</v>
      </c>
      <c r="D25" s="14" t="s">
        <v>24</v>
      </c>
      <c r="E25" s="10">
        <v>8</v>
      </c>
      <c r="F25" s="16">
        <f t="shared" si="7"/>
        <v>0</v>
      </c>
      <c r="G25" s="15"/>
      <c r="H25" s="15"/>
      <c r="I25" s="8"/>
      <c r="J25" s="8"/>
      <c r="K25" s="52" t="s">
        <v>69</v>
      </c>
      <c r="L25" s="41"/>
      <c r="M25" s="70" t="s">
        <v>40</v>
      </c>
      <c r="N25" s="41"/>
      <c r="O25" s="11" t="s">
        <v>44</v>
      </c>
      <c r="P25" s="52" t="s">
        <v>70</v>
      </c>
      <c r="Q25" s="41"/>
      <c r="R25" s="41"/>
      <c r="S25" s="41"/>
      <c r="T25" s="41"/>
      <c r="U25" s="41"/>
      <c r="V25" s="41"/>
      <c r="W25" s="8"/>
    </row>
    <row r="26" spans="1:23" ht="14.25" customHeight="1" x14ac:dyDescent="0.5">
      <c r="A26" s="8" t="s">
        <v>71</v>
      </c>
      <c r="B26" s="26">
        <f t="shared" si="5"/>
        <v>8</v>
      </c>
      <c r="C26" s="26">
        <f t="shared" si="6"/>
        <v>-1</v>
      </c>
      <c r="D26" s="14" t="s">
        <v>24</v>
      </c>
      <c r="E26" s="10">
        <v>8</v>
      </c>
      <c r="F26" s="16">
        <f t="shared" si="7"/>
        <v>0</v>
      </c>
      <c r="G26" s="15"/>
      <c r="H26" s="15"/>
      <c r="I26" s="8"/>
      <c r="J26" s="8"/>
      <c r="K26" s="65"/>
      <c r="L26" s="49"/>
      <c r="M26" s="66"/>
      <c r="N26" s="49"/>
      <c r="O26" s="30"/>
      <c r="P26" s="48"/>
      <c r="Q26" s="50"/>
      <c r="R26" s="50"/>
      <c r="S26" s="50"/>
      <c r="T26" s="50"/>
      <c r="U26" s="50"/>
      <c r="V26" s="49"/>
      <c r="W26" s="8"/>
    </row>
    <row r="27" spans="1:23" ht="14.25" customHeight="1" x14ac:dyDescent="0.5">
      <c r="A27" s="8" t="s">
        <v>72</v>
      </c>
      <c r="B27" s="26">
        <f t="shared" si="5"/>
        <v>8</v>
      </c>
      <c r="C27" s="26">
        <f t="shared" si="6"/>
        <v>-1</v>
      </c>
      <c r="D27" s="14" t="s">
        <v>24</v>
      </c>
      <c r="E27" s="10">
        <v>8</v>
      </c>
      <c r="F27" s="16">
        <f t="shared" si="7"/>
        <v>0</v>
      </c>
      <c r="G27" s="15"/>
      <c r="H27" s="15"/>
      <c r="I27" s="8"/>
      <c r="J27" s="8"/>
      <c r="K27" s="48"/>
      <c r="L27" s="49"/>
      <c r="M27" s="66"/>
      <c r="N27" s="49"/>
      <c r="O27" s="30"/>
      <c r="P27" s="68"/>
      <c r="Q27" s="50"/>
      <c r="R27" s="50"/>
      <c r="S27" s="50"/>
      <c r="T27" s="50"/>
      <c r="U27" s="50"/>
      <c r="V27" s="49"/>
      <c r="W27" s="8"/>
    </row>
    <row r="28" spans="1:23" ht="14.25" customHeight="1" x14ac:dyDescent="0.5">
      <c r="A28" s="8" t="s">
        <v>73</v>
      </c>
      <c r="B28" s="26">
        <f t="shared" si="5"/>
        <v>8</v>
      </c>
      <c r="C28" s="26">
        <f t="shared" si="6"/>
        <v>-1</v>
      </c>
      <c r="D28" s="14" t="s">
        <v>24</v>
      </c>
      <c r="E28" s="10">
        <v>8</v>
      </c>
      <c r="F28" s="16">
        <f t="shared" si="7"/>
        <v>0</v>
      </c>
      <c r="G28" s="15"/>
      <c r="H28" s="15"/>
      <c r="I28" s="8"/>
      <c r="J28" s="8"/>
      <c r="K28" s="65"/>
      <c r="L28" s="49"/>
      <c r="M28" s="66"/>
      <c r="N28" s="49"/>
      <c r="O28" s="30"/>
      <c r="P28" s="48"/>
      <c r="Q28" s="50"/>
      <c r="R28" s="50"/>
      <c r="S28" s="50"/>
      <c r="T28" s="50"/>
      <c r="U28" s="50"/>
      <c r="V28" s="49"/>
      <c r="W28" s="8"/>
    </row>
    <row r="29" spans="1:23" ht="14.25" customHeight="1" x14ac:dyDescent="0.5">
      <c r="A29" s="8"/>
      <c r="B29" s="8"/>
      <c r="C29" s="8"/>
      <c r="D29" s="8"/>
      <c r="E29" s="8"/>
      <c r="F29" s="8"/>
      <c r="G29" s="8"/>
      <c r="H29" s="8"/>
      <c r="I29" s="8"/>
      <c r="J29" s="8"/>
      <c r="K29" s="65"/>
      <c r="L29" s="49"/>
      <c r="M29" s="66"/>
      <c r="N29" s="49"/>
      <c r="O29" s="30"/>
      <c r="P29" s="48"/>
      <c r="Q29" s="50"/>
      <c r="R29" s="50"/>
      <c r="S29" s="50"/>
      <c r="T29" s="50"/>
      <c r="U29" s="50"/>
      <c r="V29" s="49"/>
      <c r="W29" s="8"/>
    </row>
    <row r="30" spans="1:23" ht="14.25" customHeight="1" x14ac:dyDescent="0.5">
      <c r="A30" s="54" t="s">
        <v>74</v>
      </c>
      <c r="B30" s="41"/>
      <c r="C30" s="8"/>
      <c r="D30" s="8"/>
      <c r="E30" s="8" t="s">
        <v>75</v>
      </c>
      <c r="F30" s="16">
        <f>(D5+C26)*B2</f>
        <v>0</v>
      </c>
      <c r="G30" s="8"/>
      <c r="H30" s="8" t="s">
        <v>76</v>
      </c>
      <c r="I30" s="16">
        <f>F30-SUM(F33:F67) - F70</f>
        <v>0</v>
      </c>
      <c r="J30" s="8"/>
      <c r="K30" s="48"/>
      <c r="L30" s="49"/>
      <c r="M30" s="66"/>
      <c r="N30" s="49"/>
      <c r="O30" s="30"/>
      <c r="P30" s="68"/>
      <c r="Q30" s="50"/>
      <c r="R30" s="50"/>
      <c r="S30" s="50"/>
      <c r="T30" s="50"/>
      <c r="U30" s="50"/>
      <c r="V30" s="49"/>
      <c r="W30" s="8"/>
    </row>
    <row r="31" spans="1:23" ht="14.25" customHeight="1" x14ac:dyDescent="0.5">
      <c r="A31" s="51"/>
      <c r="B31" s="41"/>
      <c r="C31" s="8"/>
      <c r="D31" s="8"/>
      <c r="E31" s="8"/>
      <c r="F31" s="8"/>
      <c r="G31" s="8"/>
      <c r="H31" s="8"/>
      <c r="I31" s="16"/>
      <c r="J31" s="8"/>
      <c r="K31" s="65"/>
      <c r="L31" s="49"/>
      <c r="M31" s="66"/>
      <c r="N31" s="49"/>
      <c r="O31" s="30"/>
      <c r="P31" s="48"/>
      <c r="Q31" s="50"/>
      <c r="R31" s="50"/>
      <c r="S31" s="50"/>
      <c r="T31" s="50"/>
      <c r="U31" s="50"/>
      <c r="V31" s="49"/>
      <c r="W31" s="8"/>
    </row>
    <row r="32" spans="1:23" ht="14.25" customHeight="1" x14ac:dyDescent="0.5">
      <c r="A32" s="51"/>
      <c r="B32" s="41"/>
      <c r="C32" s="12" t="s">
        <v>26</v>
      </c>
      <c r="D32" s="22"/>
      <c r="E32" s="12" t="s">
        <v>77</v>
      </c>
      <c r="F32" s="12" t="s">
        <v>78</v>
      </c>
      <c r="G32" s="12" t="s">
        <v>22</v>
      </c>
      <c r="H32" s="12" t="s">
        <v>61</v>
      </c>
      <c r="I32" s="12" t="s">
        <v>28</v>
      </c>
      <c r="J32" s="8"/>
      <c r="K32" s="65"/>
      <c r="L32" s="49"/>
      <c r="M32" s="66"/>
      <c r="N32" s="49"/>
      <c r="O32" s="30"/>
      <c r="P32" s="68"/>
      <c r="Q32" s="50"/>
      <c r="R32" s="50"/>
      <c r="S32" s="50"/>
      <c r="T32" s="50"/>
      <c r="U32" s="50"/>
      <c r="V32" s="49"/>
      <c r="W32" s="8"/>
    </row>
    <row r="33" spans="1:23" ht="14.25" customHeight="1" x14ac:dyDescent="0.5">
      <c r="A33" s="52" t="s">
        <v>79</v>
      </c>
      <c r="B33" s="41"/>
      <c r="C33" s="33">
        <f>IF( AND( (E33 = "Y"), (F33 &gt; 0)), 3, 0) + F33 + H33 + I33 + R20</f>
        <v>-1</v>
      </c>
      <c r="D33" s="14" t="s">
        <v>24</v>
      </c>
      <c r="E33" s="34" t="s">
        <v>80</v>
      </c>
      <c r="F33" s="10"/>
      <c r="G33" s="16" t="s">
        <v>81</v>
      </c>
      <c r="H33" s="13">
        <f>C24</f>
        <v>-1</v>
      </c>
      <c r="I33" s="15"/>
      <c r="J33" s="8"/>
      <c r="K33" s="65"/>
      <c r="L33" s="49"/>
      <c r="M33" s="66"/>
      <c r="N33" s="49"/>
      <c r="O33" s="30"/>
      <c r="P33" s="48"/>
      <c r="Q33" s="50"/>
      <c r="R33" s="50"/>
      <c r="S33" s="50"/>
      <c r="T33" s="50"/>
      <c r="U33" s="50"/>
      <c r="V33" s="49"/>
      <c r="W33" s="8"/>
    </row>
    <row r="34" spans="1:23" ht="14.25" customHeight="1" x14ac:dyDescent="0.5">
      <c r="A34" s="52" t="s">
        <v>82</v>
      </c>
      <c r="B34" s="41"/>
      <c r="C34" s="33">
        <f t="shared" ref="C34:C36" si="8">IF( AND( (E34 = "Y"), (F34 &gt; 0)), 3, 0) + F34 + H34 + I34</f>
        <v>-1</v>
      </c>
      <c r="D34" s="14" t="s">
        <v>24</v>
      </c>
      <c r="E34" s="34" t="s">
        <v>80</v>
      </c>
      <c r="F34" s="10"/>
      <c r="G34" s="16" t="s">
        <v>71</v>
      </c>
      <c r="H34" s="13">
        <f t="shared" ref="H34:H36" si="9">C26</f>
        <v>-1</v>
      </c>
      <c r="I34" s="15"/>
      <c r="J34" s="8"/>
      <c r="K34" s="48"/>
      <c r="L34" s="49"/>
      <c r="M34" s="66"/>
      <c r="N34" s="49"/>
      <c r="O34" s="30"/>
      <c r="P34" s="48"/>
      <c r="Q34" s="50"/>
      <c r="R34" s="50"/>
      <c r="S34" s="50"/>
      <c r="T34" s="50"/>
      <c r="U34" s="50"/>
      <c r="V34" s="49"/>
      <c r="W34" s="8"/>
    </row>
    <row r="35" spans="1:23" ht="14.25" customHeight="1" x14ac:dyDescent="0.5">
      <c r="A35" s="52" t="s">
        <v>83</v>
      </c>
      <c r="B35" s="41"/>
      <c r="C35" s="33">
        <f t="shared" si="8"/>
        <v>-1</v>
      </c>
      <c r="D35" s="14" t="s">
        <v>24</v>
      </c>
      <c r="E35" s="34" t="s">
        <v>80</v>
      </c>
      <c r="F35" s="10"/>
      <c r="G35" s="16" t="s">
        <v>72</v>
      </c>
      <c r="H35" s="13">
        <f t="shared" si="9"/>
        <v>-1</v>
      </c>
      <c r="I35" s="15"/>
      <c r="J35" s="8"/>
      <c r="K35" s="48"/>
      <c r="L35" s="49"/>
      <c r="M35" s="66"/>
      <c r="N35" s="49"/>
      <c r="O35" s="30"/>
      <c r="P35" s="48"/>
      <c r="Q35" s="50"/>
      <c r="R35" s="50"/>
      <c r="S35" s="50"/>
      <c r="T35" s="50"/>
      <c r="U35" s="50"/>
      <c r="V35" s="49"/>
      <c r="W35" s="8"/>
    </row>
    <row r="36" spans="1:23" ht="14.25" customHeight="1" x14ac:dyDescent="0.5">
      <c r="A36" s="52" t="s">
        <v>84</v>
      </c>
      <c r="B36" s="41"/>
      <c r="C36" s="33">
        <f t="shared" si="8"/>
        <v>-1</v>
      </c>
      <c r="D36" s="14" t="s">
        <v>24</v>
      </c>
      <c r="E36" s="34" t="s">
        <v>80</v>
      </c>
      <c r="F36" s="10"/>
      <c r="G36" s="16" t="s">
        <v>73</v>
      </c>
      <c r="H36" s="13">
        <f t="shared" si="9"/>
        <v>-1</v>
      </c>
      <c r="I36" s="15"/>
      <c r="J36" s="8"/>
      <c r="K36" s="65"/>
      <c r="L36" s="49"/>
      <c r="M36" s="66"/>
      <c r="N36" s="49"/>
      <c r="O36" s="30"/>
      <c r="P36" s="48"/>
      <c r="Q36" s="50"/>
      <c r="R36" s="50"/>
      <c r="S36" s="50"/>
      <c r="T36" s="50"/>
      <c r="U36" s="50"/>
      <c r="V36" s="49"/>
      <c r="W36" s="8"/>
    </row>
    <row r="37" spans="1:23" ht="14.25" customHeight="1" x14ac:dyDescent="0.5">
      <c r="A37" s="52" t="s">
        <v>85</v>
      </c>
      <c r="B37" s="41"/>
      <c r="C37" s="33">
        <f>IF( AND( (E37 = "Y"), (F37 &gt; 0)), 3, 0) + F37 + H37 + I37 + R20</f>
        <v>-1</v>
      </c>
      <c r="D37" s="14" t="s">
        <v>24</v>
      </c>
      <c r="E37" s="34" t="s">
        <v>80</v>
      </c>
      <c r="F37" s="10"/>
      <c r="G37" s="16" t="s">
        <v>86</v>
      </c>
      <c r="H37" s="13">
        <f>C23</f>
        <v>-1</v>
      </c>
      <c r="I37" s="15"/>
      <c r="J37" s="8"/>
      <c r="K37" s="48"/>
      <c r="L37" s="49"/>
      <c r="M37" s="66"/>
      <c r="N37" s="49"/>
      <c r="O37" s="30"/>
      <c r="P37" s="48"/>
      <c r="Q37" s="50"/>
      <c r="R37" s="50"/>
      <c r="S37" s="50"/>
      <c r="T37" s="50"/>
      <c r="U37" s="50"/>
      <c r="V37" s="49"/>
      <c r="W37" s="8"/>
    </row>
    <row r="38" spans="1:23" ht="14.25" customHeight="1" x14ac:dyDescent="0.5">
      <c r="A38" s="52" t="s">
        <v>87</v>
      </c>
      <c r="B38" s="41"/>
      <c r="C38" s="33">
        <f>IF( AND( (E38 = "Y"), (F38 &gt; 0)), 3, 0) + F38 + H38 + I38</f>
        <v>-1</v>
      </c>
      <c r="D38" s="14" t="s">
        <v>24</v>
      </c>
      <c r="E38" s="34" t="s">
        <v>80</v>
      </c>
      <c r="F38" s="10"/>
      <c r="G38" s="16" t="s">
        <v>71</v>
      </c>
      <c r="H38" s="13">
        <f>C26</f>
        <v>-1</v>
      </c>
      <c r="I38" s="15"/>
      <c r="J38" s="8"/>
      <c r="K38" s="48"/>
      <c r="L38" s="49"/>
      <c r="M38" s="66"/>
      <c r="N38" s="49"/>
      <c r="O38" s="30"/>
      <c r="P38" s="48"/>
      <c r="Q38" s="50"/>
      <c r="R38" s="50"/>
      <c r="S38" s="50"/>
      <c r="T38" s="50"/>
      <c r="U38" s="50"/>
      <c r="V38" s="49"/>
      <c r="W38" s="8"/>
    </row>
    <row r="39" spans="1:23" ht="14.25" customHeight="1" x14ac:dyDescent="0.5">
      <c r="A39" s="52" t="s">
        <v>88</v>
      </c>
      <c r="B39" s="41"/>
      <c r="C39" s="33">
        <f t="shared" ref="C39:C43" si="10">IF( AND( (E39 = "Y"), (F39 &gt; 0)), 3, 0) + F39 + I39</f>
        <v>0</v>
      </c>
      <c r="D39" s="14" t="s">
        <v>24</v>
      </c>
      <c r="E39" s="34" t="s">
        <v>80</v>
      </c>
      <c r="F39" s="10"/>
      <c r="G39" s="16" t="s">
        <v>47</v>
      </c>
      <c r="H39" s="16" t="s">
        <v>47</v>
      </c>
      <c r="I39" s="15"/>
      <c r="J39" s="8"/>
      <c r="K39" s="65"/>
      <c r="L39" s="49"/>
      <c r="M39" s="66"/>
      <c r="N39" s="49"/>
      <c r="O39" s="30"/>
      <c r="P39" s="48"/>
      <c r="Q39" s="50"/>
      <c r="R39" s="50"/>
      <c r="S39" s="50"/>
      <c r="T39" s="50"/>
      <c r="U39" s="50"/>
      <c r="V39" s="49"/>
      <c r="W39" s="8"/>
    </row>
    <row r="40" spans="1:23" ht="14.25" customHeight="1" x14ac:dyDescent="0.5">
      <c r="A40" s="48"/>
      <c r="B40" s="49"/>
      <c r="C40" s="33">
        <f t="shared" si="10"/>
        <v>0</v>
      </c>
      <c r="D40" s="14" t="s">
        <v>24</v>
      </c>
      <c r="E40" s="34" t="s">
        <v>80</v>
      </c>
      <c r="F40" s="10"/>
      <c r="G40" s="16" t="s">
        <v>47</v>
      </c>
      <c r="H40" s="16" t="s">
        <v>47</v>
      </c>
      <c r="I40" s="15"/>
      <c r="J40" s="8"/>
      <c r="K40" s="48"/>
      <c r="L40" s="49"/>
      <c r="M40" s="66"/>
      <c r="N40" s="49"/>
      <c r="O40" s="30"/>
      <c r="P40" s="68"/>
      <c r="Q40" s="50"/>
      <c r="R40" s="50"/>
      <c r="S40" s="50"/>
      <c r="T40" s="50"/>
      <c r="U40" s="50"/>
      <c r="V40" s="49"/>
      <c r="W40" s="8"/>
    </row>
    <row r="41" spans="1:23" ht="14.25" customHeight="1" x14ac:dyDescent="0.5">
      <c r="A41" s="48"/>
      <c r="B41" s="49"/>
      <c r="C41" s="33">
        <f t="shared" si="10"/>
        <v>0</v>
      </c>
      <c r="D41" s="14" t="s">
        <v>24</v>
      </c>
      <c r="E41" s="34" t="s">
        <v>80</v>
      </c>
      <c r="F41" s="10"/>
      <c r="G41" s="16" t="s">
        <v>47</v>
      </c>
      <c r="H41" s="16" t="s">
        <v>47</v>
      </c>
      <c r="I41" s="15"/>
      <c r="J41" s="8"/>
      <c r="K41" s="65"/>
      <c r="L41" s="49"/>
      <c r="M41" s="66"/>
      <c r="N41" s="49"/>
      <c r="O41" s="30"/>
      <c r="P41" s="48"/>
      <c r="Q41" s="50"/>
      <c r="R41" s="50"/>
      <c r="S41" s="50"/>
      <c r="T41" s="50"/>
      <c r="U41" s="50"/>
      <c r="V41" s="49"/>
      <c r="W41" s="8"/>
    </row>
    <row r="42" spans="1:23" ht="14.25" customHeight="1" x14ac:dyDescent="0.5">
      <c r="A42" s="48"/>
      <c r="B42" s="49"/>
      <c r="C42" s="33">
        <f t="shared" si="10"/>
        <v>0</v>
      </c>
      <c r="D42" s="14" t="s">
        <v>24</v>
      </c>
      <c r="E42" s="34" t="s">
        <v>80</v>
      </c>
      <c r="F42" s="10"/>
      <c r="G42" s="16" t="s">
        <v>47</v>
      </c>
      <c r="H42" s="16" t="s">
        <v>47</v>
      </c>
      <c r="I42" s="15"/>
      <c r="J42" s="8"/>
      <c r="K42" s="48"/>
      <c r="L42" s="49"/>
      <c r="M42" s="66"/>
      <c r="N42" s="49"/>
      <c r="O42" s="30"/>
      <c r="P42" s="48"/>
      <c r="Q42" s="50"/>
      <c r="R42" s="50"/>
      <c r="S42" s="50"/>
      <c r="T42" s="50"/>
      <c r="U42" s="50"/>
      <c r="V42" s="49"/>
      <c r="W42" s="8"/>
    </row>
    <row r="43" spans="1:23" ht="14.25" customHeight="1" x14ac:dyDescent="0.5">
      <c r="A43" s="48"/>
      <c r="B43" s="49"/>
      <c r="C43" s="33">
        <f t="shared" si="10"/>
        <v>0</v>
      </c>
      <c r="D43" s="14" t="s">
        <v>24</v>
      </c>
      <c r="E43" s="34" t="s">
        <v>80</v>
      </c>
      <c r="F43" s="10"/>
      <c r="G43" s="16" t="s">
        <v>47</v>
      </c>
      <c r="H43" s="16" t="s">
        <v>47</v>
      </c>
      <c r="I43" s="15"/>
      <c r="J43" s="8"/>
      <c r="K43" s="48"/>
      <c r="L43" s="49"/>
      <c r="M43" s="66"/>
      <c r="N43" s="49"/>
      <c r="O43" s="30"/>
      <c r="P43" s="48"/>
      <c r="Q43" s="50"/>
      <c r="R43" s="50"/>
      <c r="S43" s="50"/>
      <c r="T43" s="50"/>
      <c r="U43" s="50"/>
      <c r="V43" s="49"/>
      <c r="W43" s="8"/>
    </row>
    <row r="44" spans="1:23" ht="14.25" customHeight="1" x14ac:dyDescent="0.5">
      <c r="A44" s="52" t="s">
        <v>89</v>
      </c>
      <c r="B44" s="41"/>
      <c r="C44" s="33">
        <f t="shared" ref="C44:C47" si="11">IF( AND( (E44 = "Y"), (F44 &gt; 0)), 3, 0) + F44 + H44 + I44</f>
        <v>-1</v>
      </c>
      <c r="D44" s="14" t="s">
        <v>24</v>
      </c>
      <c r="E44" s="34" t="s">
        <v>80</v>
      </c>
      <c r="F44" s="10"/>
      <c r="G44" s="16" t="s">
        <v>71</v>
      </c>
      <c r="H44" s="13">
        <f>C26</f>
        <v>-1</v>
      </c>
      <c r="I44" s="15"/>
      <c r="J44" s="8"/>
      <c r="K44" s="65"/>
      <c r="L44" s="49"/>
      <c r="M44" s="66"/>
      <c r="N44" s="49"/>
      <c r="O44" s="30"/>
      <c r="P44" s="48"/>
      <c r="Q44" s="50"/>
      <c r="R44" s="50"/>
      <c r="S44" s="50"/>
      <c r="T44" s="50"/>
      <c r="U44" s="50"/>
      <c r="V44" s="49"/>
      <c r="W44" s="8"/>
    </row>
    <row r="45" spans="1:23" ht="14.25" customHeight="1" x14ac:dyDescent="0.5">
      <c r="A45" s="52" t="s">
        <v>90</v>
      </c>
      <c r="B45" s="41"/>
      <c r="C45" s="33">
        <f t="shared" si="11"/>
        <v>-1</v>
      </c>
      <c r="D45" s="14" t="s">
        <v>24</v>
      </c>
      <c r="E45" s="34" t="s">
        <v>80</v>
      </c>
      <c r="F45" s="10"/>
      <c r="G45" s="16" t="s">
        <v>73</v>
      </c>
      <c r="H45" s="13">
        <f>C28</f>
        <v>-1</v>
      </c>
      <c r="I45" s="15"/>
      <c r="J45" s="8"/>
      <c r="K45" s="48"/>
      <c r="L45" s="49"/>
      <c r="M45" s="66"/>
      <c r="N45" s="49"/>
      <c r="O45" s="30"/>
      <c r="P45" s="68"/>
      <c r="Q45" s="50"/>
      <c r="R45" s="50"/>
      <c r="S45" s="50"/>
      <c r="T45" s="50"/>
      <c r="U45" s="50"/>
      <c r="V45" s="49"/>
      <c r="W45" s="8"/>
    </row>
    <row r="46" spans="1:23" ht="14.25" customHeight="1" x14ac:dyDescent="0.5">
      <c r="A46" s="52" t="s">
        <v>91</v>
      </c>
      <c r="B46" s="41"/>
      <c r="C46" s="33">
        <f t="shared" si="11"/>
        <v>-1</v>
      </c>
      <c r="D46" s="14" t="s">
        <v>24</v>
      </c>
      <c r="E46" s="34" t="s">
        <v>80</v>
      </c>
      <c r="F46" s="10"/>
      <c r="G46" s="16" t="s">
        <v>71</v>
      </c>
      <c r="H46" s="13">
        <f>C26</f>
        <v>-1</v>
      </c>
      <c r="I46" s="15"/>
      <c r="J46" s="8"/>
      <c r="K46" s="52"/>
      <c r="L46" s="41"/>
      <c r="M46" s="35"/>
      <c r="N46" s="8"/>
      <c r="O46" s="51"/>
      <c r="P46" s="41"/>
      <c r="Q46" s="41"/>
      <c r="R46" s="41"/>
      <c r="S46" s="41"/>
      <c r="T46" s="41"/>
      <c r="U46" s="41"/>
      <c r="V46" s="8"/>
      <c r="W46" s="8"/>
    </row>
    <row r="47" spans="1:23" ht="14.25" customHeight="1" x14ac:dyDescent="0.5">
      <c r="A47" s="52" t="s">
        <v>92</v>
      </c>
      <c r="B47" s="41"/>
      <c r="C47" s="33">
        <f t="shared" si="11"/>
        <v>-1</v>
      </c>
      <c r="D47" s="14" t="s">
        <v>24</v>
      </c>
      <c r="E47" s="34" t="s">
        <v>80</v>
      </c>
      <c r="F47" s="10"/>
      <c r="G47" s="16" t="s">
        <v>73</v>
      </c>
      <c r="H47" s="13">
        <f>C28</f>
        <v>-1</v>
      </c>
      <c r="I47" s="15"/>
      <c r="J47" s="8"/>
      <c r="K47" s="47" t="s">
        <v>93</v>
      </c>
      <c r="L47" s="41"/>
      <c r="M47" s="71">
        <f>M20+SUM(M10:N16) + M23+ SUM(M26:N45)</f>
        <v>0</v>
      </c>
      <c r="N47" s="41"/>
      <c r="O47" s="11">
        <f>S20+SUM(T10:T16)+SUM(O26:O45)</f>
        <v>0</v>
      </c>
      <c r="P47" s="8"/>
      <c r="Q47" s="7" t="s">
        <v>94</v>
      </c>
      <c r="R47" s="8"/>
      <c r="S47" s="8"/>
      <c r="T47" s="8"/>
      <c r="U47" s="8"/>
      <c r="V47" s="8"/>
      <c r="W47" s="8"/>
    </row>
    <row r="48" spans="1:23" ht="14.25" customHeight="1" x14ac:dyDescent="0.5">
      <c r="A48" s="52" t="s">
        <v>95</v>
      </c>
      <c r="B48" s="41"/>
      <c r="C48" s="32"/>
      <c r="D48" s="16"/>
      <c r="E48" s="36"/>
      <c r="F48" s="16"/>
      <c r="G48" s="16"/>
      <c r="H48" s="16"/>
      <c r="I48" s="13"/>
      <c r="J48" s="8"/>
      <c r="K48" s="51"/>
      <c r="L48" s="41"/>
      <c r="M48" s="8"/>
      <c r="N48" s="8"/>
      <c r="O48" s="8"/>
      <c r="P48" s="8"/>
      <c r="Q48" s="51" t="s">
        <v>96</v>
      </c>
      <c r="R48" s="41"/>
      <c r="S48" s="41"/>
      <c r="T48" s="41"/>
      <c r="U48" s="14" t="s">
        <v>24</v>
      </c>
      <c r="V48" s="16" t="s">
        <v>97</v>
      </c>
      <c r="W48" s="8"/>
    </row>
    <row r="49" spans="1:23" ht="14.25" customHeight="1" x14ac:dyDescent="0.5">
      <c r="A49" s="53" t="s">
        <v>98</v>
      </c>
      <c r="B49" s="41"/>
      <c r="C49" s="33">
        <f t="shared" ref="C49:C62" si="12">IF( AND( (E49 = "Y"), (F49 &gt; 0)), 3, 0) + F49 + H49 + I49</f>
        <v>-1</v>
      </c>
      <c r="D49" s="14" t="s">
        <v>24</v>
      </c>
      <c r="E49" s="34" t="s">
        <v>80</v>
      </c>
      <c r="F49" s="10"/>
      <c r="G49" s="16" t="s">
        <v>71</v>
      </c>
      <c r="H49" s="13">
        <f>C26</f>
        <v>-1</v>
      </c>
      <c r="I49" s="15"/>
      <c r="J49" s="8"/>
      <c r="K49" s="47" t="s">
        <v>99</v>
      </c>
      <c r="L49" s="41"/>
      <c r="M49" s="71">
        <f>M3-M47</f>
        <v>0</v>
      </c>
      <c r="N49" s="41"/>
      <c r="O49" s="8"/>
      <c r="P49" s="8"/>
      <c r="Q49" s="51" t="s">
        <v>100</v>
      </c>
      <c r="R49" s="41"/>
      <c r="S49" s="41"/>
      <c r="T49" s="41"/>
      <c r="U49" s="14" t="s">
        <v>24</v>
      </c>
      <c r="V49" s="16" t="s">
        <v>97</v>
      </c>
      <c r="W49" s="8"/>
    </row>
    <row r="50" spans="1:23" ht="14.25" customHeight="1" x14ac:dyDescent="0.5">
      <c r="A50" s="53" t="s">
        <v>101</v>
      </c>
      <c r="B50" s="41"/>
      <c r="C50" s="33">
        <f t="shared" si="12"/>
        <v>-1</v>
      </c>
      <c r="D50" s="14" t="s">
        <v>24</v>
      </c>
      <c r="E50" s="34" t="s">
        <v>80</v>
      </c>
      <c r="F50" s="10"/>
      <c r="G50" s="16" t="s">
        <v>71</v>
      </c>
      <c r="H50" s="13">
        <f>C26</f>
        <v>-1</v>
      </c>
      <c r="I50" s="15"/>
      <c r="J50" s="8"/>
      <c r="K50" s="51"/>
      <c r="L50" s="41"/>
      <c r="M50" s="8"/>
      <c r="N50" s="8"/>
      <c r="O50" s="8"/>
      <c r="P50" s="8"/>
      <c r="Q50" s="51" t="s">
        <v>102</v>
      </c>
      <c r="R50" s="41"/>
      <c r="S50" s="41"/>
      <c r="T50" s="41"/>
      <c r="U50" s="14" t="s">
        <v>24</v>
      </c>
      <c r="V50" s="16" t="s">
        <v>97</v>
      </c>
      <c r="W50" s="8"/>
    </row>
    <row r="51" spans="1:23" ht="14.25" customHeight="1" x14ac:dyDescent="0.5">
      <c r="A51" s="53" t="s">
        <v>103</v>
      </c>
      <c r="B51" s="41"/>
      <c r="C51" s="33">
        <f t="shared" si="12"/>
        <v>-1</v>
      </c>
      <c r="D51" s="14" t="s">
        <v>24</v>
      </c>
      <c r="E51" s="34" t="s">
        <v>80</v>
      </c>
      <c r="F51" s="10"/>
      <c r="G51" s="16" t="s">
        <v>71</v>
      </c>
      <c r="H51" s="13">
        <f>C26</f>
        <v>-1</v>
      </c>
      <c r="I51" s="15"/>
      <c r="J51" s="8"/>
      <c r="K51" s="52" t="s">
        <v>104</v>
      </c>
      <c r="L51" s="4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4.25" customHeight="1" x14ac:dyDescent="0.5">
      <c r="A52" s="53" t="s">
        <v>105</v>
      </c>
      <c r="B52" s="41"/>
      <c r="C52" s="33">
        <f t="shared" si="12"/>
        <v>-1</v>
      </c>
      <c r="D52" s="14" t="s">
        <v>24</v>
      </c>
      <c r="E52" s="34" t="s">
        <v>80</v>
      </c>
      <c r="F52" s="10"/>
      <c r="G52" s="16" t="s">
        <v>71</v>
      </c>
      <c r="H52" s="13">
        <f>C26</f>
        <v>-1</v>
      </c>
      <c r="I52" s="15"/>
      <c r="J52" s="8"/>
      <c r="K52" s="65"/>
      <c r="L52" s="49"/>
      <c r="M52" s="68"/>
      <c r="N52" s="50"/>
      <c r="O52" s="50"/>
      <c r="P52" s="50"/>
      <c r="Q52" s="50"/>
      <c r="R52" s="50"/>
      <c r="S52" s="50"/>
      <c r="T52" s="50"/>
      <c r="U52" s="50"/>
      <c r="V52" s="49"/>
      <c r="W52" s="8"/>
    </row>
    <row r="53" spans="1:23" ht="14.25" customHeight="1" x14ac:dyDescent="0.5">
      <c r="A53" s="53" t="s">
        <v>106</v>
      </c>
      <c r="B53" s="41"/>
      <c r="C53" s="33">
        <f t="shared" si="12"/>
        <v>-1</v>
      </c>
      <c r="D53" s="14" t="s">
        <v>24</v>
      </c>
      <c r="E53" s="34" t="s">
        <v>80</v>
      </c>
      <c r="F53" s="10"/>
      <c r="G53" s="16" t="s">
        <v>71</v>
      </c>
      <c r="H53" s="13">
        <f>C26</f>
        <v>-1</v>
      </c>
      <c r="I53" s="15"/>
      <c r="J53" s="8"/>
      <c r="K53" s="65"/>
      <c r="L53" s="49"/>
      <c r="M53" s="68"/>
      <c r="N53" s="50"/>
      <c r="O53" s="50"/>
      <c r="P53" s="50"/>
      <c r="Q53" s="50"/>
      <c r="R53" s="50"/>
      <c r="S53" s="50"/>
      <c r="T53" s="50"/>
      <c r="U53" s="50"/>
      <c r="V53" s="49"/>
      <c r="W53" s="8"/>
    </row>
    <row r="54" spans="1:23" ht="14.25" customHeight="1" x14ac:dyDescent="0.5">
      <c r="A54" s="53" t="s">
        <v>107</v>
      </c>
      <c r="B54" s="41"/>
      <c r="C54" s="33">
        <f t="shared" si="12"/>
        <v>-1</v>
      </c>
      <c r="D54" s="14" t="s">
        <v>24</v>
      </c>
      <c r="E54" s="34" t="s">
        <v>80</v>
      </c>
      <c r="F54" s="10"/>
      <c r="G54" s="16" t="s">
        <v>71</v>
      </c>
      <c r="H54" s="13">
        <f>C26</f>
        <v>-1</v>
      </c>
      <c r="I54" s="15"/>
      <c r="J54" s="8"/>
      <c r="K54" s="68"/>
      <c r="L54" s="49"/>
      <c r="M54" s="48"/>
      <c r="N54" s="50"/>
      <c r="O54" s="50"/>
      <c r="P54" s="50"/>
      <c r="Q54" s="50"/>
      <c r="R54" s="50"/>
      <c r="S54" s="50"/>
      <c r="T54" s="50"/>
      <c r="U54" s="50"/>
      <c r="V54" s="49"/>
      <c r="W54" s="8"/>
    </row>
    <row r="55" spans="1:23" ht="14.25" customHeight="1" x14ac:dyDescent="0.5">
      <c r="A55" s="53" t="s">
        <v>108</v>
      </c>
      <c r="B55" s="41"/>
      <c r="C55" s="33">
        <f t="shared" si="12"/>
        <v>-1</v>
      </c>
      <c r="D55" s="14" t="s">
        <v>24</v>
      </c>
      <c r="E55" s="34" t="s">
        <v>80</v>
      </c>
      <c r="F55" s="10"/>
      <c r="G55" s="16" t="s">
        <v>71</v>
      </c>
      <c r="H55" s="13">
        <f>C26</f>
        <v>-1</v>
      </c>
      <c r="I55" s="15"/>
      <c r="J55" s="8"/>
      <c r="K55" s="68"/>
      <c r="L55" s="49"/>
      <c r="M55" s="48"/>
      <c r="N55" s="50"/>
      <c r="O55" s="50"/>
      <c r="P55" s="50"/>
      <c r="Q55" s="50"/>
      <c r="R55" s="50"/>
      <c r="S55" s="50"/>
      <c r="T55" s="50"/>
      <c r="U55" s="50"/>
      <c r="V55" s="49"/>
      <c r="W55" s="8"/>
    </row>
    <row r="56" spans="1:23" ht="14.25" customHeight="1" x14ac:dyDescent="0.5">
      <c r="A56" s="53" t="s">
        <v>109</v>
      </c>
      <c r="B56" s="41"/>
      <c r="C56" s="33">
        <f t="shared" si="12"/>
        <v>-1</v>
      </c>
      <c r="D56" s="14" t="s">
        <v>24</v>
      </c>
      <c r="E56" s="34" t="s">
        <v>80</v>
      </c>
      <c r="F56" s="10"/>
      <c r="G56" s="16" t="s">
        <v>71</v>
      </c>
      <c r="H56" s="13">
        <f>C26</f>
        <v>-1</v>
      </c>
      <c r="I56" s="15"/>
      <c r="J56" s="8"/>
      <c r="K56" s="68"/>
      <c r="L56" s="49"/>
      <c r="M56" s="48"/>
      <c r="N56" s="50"/>
      <c r="O56" s="50"/>
      <c r="P56" s="50"/>
      <c r="Q56" s="50"/>
      <c r="R56" s="50"/>
      <c r="S56" s="50"/>
      <c r="T56" s="50"/>
      <c r="U56" s="50"/>
      <c r="V56" s="49"/>
      <c r="W56" s="8"/>
    </row>
    <row r="57" spans="1:23" ht="14.25" customHeight="1" x14ac:dyDescent="0.5">
      <c r="A57" s="52" t="s">
        <v>110</v>
      </c>
      <c r="B57" s="41"/>
      <c r="C57" s="33">
        <f t="shared" si="12"/>
        <v>-1</v>
      </c>
      <c r="D57" s="14" t="s">
        <v>24</v>
      </c>
      <c r="E57" s="34" t="s">
        <v>80</v>
      </c>
      <c r="F57" s="10"/>
      <c r="G57" s="16" t="s">
        <v>71</v>
      </c>
      <c r="H57" s="13">
        <f>C26</f>
        <v>-1</v>
      </c>
      <c r="I57" s="15"/>
      <c r="J57" s="8"/>
      <c r="K57" s="48"/>
      <c r="L57" s="49"/>
      <c r="M57" s="68"/>
      <c r="N57" s="50"/>
      <c r="O57" s="50"/>
      <c r="P57" s="50"/>
      <c r="Q57" s="50"/>
      <c r="R57" s="50"/>
      <c r="S57" s="50"/>
      <c r="T57" s="50"/>
      <c r="U57" s="50"/>
      <c r="V57" s="49"/>
      <c r="W57" s="8"/>
    </row>
    <row r="58" spans="1:23" ht="14.25" customHeight="1" x14ac:dyDescent="0.5">
      <c r="A58" s="52" t="s">
        <v>111</v>
      </c>
      <c r="B58" s="41"/>
      <c r="C58" s="33">
        <f t="shared" si="12"/>
        <v>-1</v>
      </c>
      <c r="D58" s="14" t="s">
        <v>24</v>
      </c>
      <c r="E58" s="34" t="s">
        <v>80</v>
      </c>
      <c r="F58" s="10"/>
      <c r="G58" s="16" t="s">
        <v>73</v>
      </c>
      <c r="H58" s="13">
        <f>C28</f>
        <v>-1</v>
      </c>
      <c r="I58" s="15"/>
      <c r="J58" s="8"/>
      <c r="K58" s="48"/>
      <c r="L58" s="49"/>
      <c r="M58" s="68"/>
      <c r="N58" s="50"/>
      <c r="O58" s="50"/>
      <c r="P58" s="50"/>
      <c r="Q58" s="50"/>
      <c r="R58" s="50"/>
      <c r="S58" s="50"/>
      <c r="T58" s="50"/>
      <c r="U58" s="50"/>
      <c r="V58" s="49"/>
      <c r="W58" s="8"/>
    </row>
    <row r="59" spans="1:23" ht="14.25" customHeight="1" x14ac:dyDescent="0.5">
      <c r="A59" s="52" t="s">
        <v>112</v>
      </c>
      <c r="B59" s="41"/>
      <c r="C59" s="33">
        <f t="shared" si="12"/>
        <v>-1</v>
      </c>
      <c r="D59" s="14" t="s">
        <v>24</v>
      </c>
      <c r="E59" s="34" t="s">
        <v>80</v>
      </c>
      <c r="F59" s="10"/>
      <c r="G59" s="16" t="s">
        <v>67</v>
      </c>
      <c r="H59" s="13">
        <f>C24</f>
        <v>-1</v>
      </c>
      <c r="I59" s="15"/>
      <c r="J59" s="8"/>
      <c r="K59" s="48"/>
      <c r="L59" s="49"/>
      <c r="M59" s="48"/>
      <c r="N59" s="50"/>
      <c r="O59" s="50"/>
      <c r="P59" s="50"/>
      <c r="Q59" s="50"/>
      <c r="R59" s="50"/>
      <c r="S59" s="50"/>
      <c r="T59" s="50"/>
      <c r="U59" s="50"/>
      <c r="V59" s="49"/>
      <c r="W59" s="8"/>
    </row>
    <row r="60" spans="1:23" ht="14.25" customHeight="1" x14ac:dyDescent="0.5">
      <c r="A60" s="52" t="s">
        <v>113</v>
      </c>
      <c r="B60" s="41"/>
      <c r="C60" s="33">
        <f t="shared" si="12"/>
        <v>-1</v>
      </c>
      <c r="D60" s="14" t="s">
        <v>24</v>
      </c>
      <c r="E60" s="34" t="s">
        <v>80</v>
      </c>
      <c r="F60" s="10"/>
      <c r="G60" s="16" t="s">
        <v>71</v>
      </c>
      <c r="H60" s="13">
        <f>C26</f>
        <v>-1</v>
      </c>
      <c r="I60" s="15"/>
      <c r="J60" s="8"/>
      <c r="K60" s="48"/>
      <c r="L60" s="49"/>
      <c r="M60" s="48"/>
      <c r="N60" s="50"/>
      <c r="O60" s="50"/>
      <c r="P60" s="50"/>
      <c r="Q60" s="50"/>
      <c r="R60" s="50"/>
      <c r="S60" s="50"/>
      <c r="T60" s="50"/>
      <c r="U60" s="50"/>
      <c r="V60" s="49"/>
      <c r="W60" s="8"/>
    </row>
    <row r="61" spans="1:23" ht="14.25" customHeight="1" x14ac:dyDescent="0.5">
      <c r="A61" s="52" t="s">
        <v>114</v>
      </c>
      <c r="B61" s="41"/>
      <c r="C61" s="33">
        <f t="shared" si="12"/>
        <v>-1</v>
      </c>
      <c r="D61" s="14" t="s">
        <v>24</v>
      </c>
      <c r="E61" s="34" t="s">
        <v>80</v>
      </c>
      <c r="F61" s="10"/>
      <c r="G61" s="16" t="s">
        <v>67</v>
      </c>
      <c r="H61" s="13">
        <f>C24</f>
        <v>-1</v>
      </c>
      <c r="I61" s="15"/>
      <c r="J61" s="8"/>
      <c r="K61" s="48"/>
      <c r="L61" s="49"/>
      <c r="M61" s="48"/>
      <c r="N61" s="50"/>
      <c r="O61" s="50"/>
      <c r="P61" s="50"/>
      <c r="Q61" s="50"/>
      <c r="R61" s="50"/>
      <c r="S61" s="50"/>
      <c r="T61" s="50"/>
      <c r="U61" s="50"/>
      <c r="V61" s="49"/>
      <c r="W61" s="8"/>
    </row>
    <row r="62" spans="1:23" ht="14.25" customHeight="1" x14ac:dyDescent="0.5">
      <c r="A62" s="52" t="s">
        <v>115</v>
      </c>
      <c r="B62" s="41"/>
      <c r="C62" s="33">
        <f t="shared" si="12"/>
        <v>-1</v>
      </c>
      <c r="D62" s="14" t="s">
        <v>24</v>
      </c>
      <c r="E62" s="34" t="s">
        <v>80</v>
      </c>
      <c r="F62" s="10"/>
      <c r="G62" s="16" t="s">
        <v>67</v>
      </c>
      <c r="H62" s="13">
        <f>C24</f>
        <v>-1</v>
      </c>
      <c r="I62" s="15"/>
      <c r="J62" s="8"/>
      <c r="K62" s="48"/>
      <c r="L62" s="49"/>
      <c r="M62" s="48"/>
      <c r="N62" s="50"/>
      <c r="O62" s="50"/>
      <c r="P62" s="50"/>
      <c r="Q62" s="50"/>
      <c r="R62" s="50"/>
      <c r="S62" s="50"/>
      <c r="T62" s="50"/>
      <c r="U62" s="50"/>
      <c r="V62" s="49"/>
      <c r="W62" s="8"/>
    </row>
    <row r="63" spans="1:23" ht="14.25" customHeight="1" x14ac:dyDescent="0.5">
      <c r="A63" s="52" t="s">
        <v>116</v>
      </c>
      <c r="B63" s="41"/>
      <c r="C63" s="33">
        <f>IF( AND( (E63 = "Y"), (F63 &gt; 0)), 3, 0) + F63 + H63 + I63 + R20</f>
        <v>-1</v>
      </c>
      <c r="D63" s="14" t="s">
        <v>24</v>
      </c>
      <c r="E63" s="34" t="s">
        <v>80</v>
      </c>
      <c r="F63" s="10"/>
      <c r="G63" s="16" t="s">
        <v>81</v>
      </c>
      <c r="H63" s="13">
        <f>C24</f>
        <v>-1</v>
      </c>
      <c r="I63" s="15"/>
      <c r="J63" s="8"/>
      <c r="K63" s="48"/>
      <c r="L63" s="49"/>
      <c r="M63" s="48"/>
      <c r="N63" s="50"/>
      <c r="O63" s="50"/>
      <c r="P63" s="50"/>
      <c r="Q63" s="50"/>
      <c r="R63" s="50"/>
      <c r="S63" s="50"/>
      <c r="T63" s="50"/>
      <c r="U63" s="50"/>
      <c r="V63" s="49"/>
      <c r="W63" s="8"/>
    </row>
    <row r="64" spans="1:23" ht="14.25" customHeight="1" x14ac:dyDescent="0.5">
      <c r="A64" s="52" t="s">
        <v>117</v>
      </c>
      <c r="B64" s="41"/>
      <c r="C64" s="33">
        <f>IF( AND( (E64 = "Y"), (F64 &gt; 0)), 3, 0) + F64 + H64 + I64 + R20</f>
        <v>-1</v>
      </c>
      <c r="D64" s="14" t="s">
        <v>24</v>
      </c>
      <c r="E64" s="34" t="s">
        <v>80</v>
      </c>
      <c r="F64" s="10"/>
      <c r="G64" s="16" t="s">
        <v>81</v>
      </c>
      <c r="H64" s="13">
        <f>C24</f>
        <v>-1</v>
      </c>
      <c r="I64" s="15"/>
      <c r="J64" s="8"/>
      <c r="K64" s="48"/>
      <c r="L64" s="49"/>
      <c r="M64" s="48"/>
      <c r="N64" s="50"/>
      <c r="O64" s="50"/>
      <c r="P64" s="50"/>
      <c r="Q64" s="50"/>
      <c r="R64" s="50"/>
      <c r="S64" s="50"/>
      <c r="T64" s="50"/>
      <c r="U64" s="50"/>
      <c r="V64" s="49"/>
      <c r="W64" s="8"/>
    </row>
    <row r="65" spans="1:23" ht="14.25" customHeight="1" x14ac:dyDescent="0.5">
      <c r="A65" s="52" t="s">
        <v>118</v>
      </c>
      <c r="B65" s="41"/>
      <c r="C65" s="33">
        <f>IF( AND( (E65 = "Y"), (F65 &gt; 0)), 3, 0) + F65 + H65 + I65</f>
        <v>-1</v>
      </c>
      <c r="D65" s="14" t="s">
        <v>24</v>
      </c>
      <c r="E65" s="34" t="s">
        <v>80</v>
      </c>
      <c r="F65" s="10"/>
      <c r="G65" s="16" t="s">
        <v>72</v>
      </c>
      <c r="H65" s="13">
        <f>C27</f>
        <v>-1</v>
      </c>
      <c r="I65" s="15"/>
      <c r="J65" s="8"/>
      <c r="K65" s="48"/>
      <c r="L65" s="49"/>
      <c r="M65" s="48"/>
      <c r="N65" s="50"/>
      <c r="O65" s="50"/>
      <c r="P65" s="50"/>
      <c r="Q65" s="50"/>
      <c r="R65" s="50"/>
      <c r="S65" s="50"/>
      <c r="T65" s="50"/>
      <c r="U65" s="50"/>
      <c r="V65" s="49"/>
      <c r="W65" s="8"/>
    </row>
    <row r="66" spans="1:23" ht="14.25" customHeight="1" x14ac:dyDescent="0.5">
      <c r="A66" s="52" t="s">
        <v>119</v>
      </c>
      <c r="B66" s="41"/>
      <c r="C66" s="33">
        <f>IF( AND( (E66 = "Y"), (F66 &gt; 0)), 3, 0) + F66 + H66 + I66 + R20 + R20</f>
        <v>-1</v>
      </c>
      <c r="D66" s="14" t="s">
        <v>24</v>
      </c>
      <c r="E66" s="34" t="s">
        <v>80</v>
      </c>
      <c r="F66" s="10"/>
      <c r="G66" s="16" t="s">
        <v>120</v>
      </c>
      <c r="H66" s="13">
        <f>C23</f>
        <v>-1</v>
      </c>
      <c r="I66" s="15"/>
      <c r="J66" s="8"/>
      <c r="K66" s="48"/>
      <c r="L66" s="49"/>
      <c r="M66" s="48"/>
      <c r="N66" s="50"/>
      <c r="O66" s="50"/>
      <c r="P66" s="50"/>
      <c r="Q66" s="50"/>
      <c r="R66" s="50"/>
      <c r="S66" s="50"/>
      <c r="T66" s="50"/>
      <c r="U66" s="50"/>
      <c r="V66" s="49"/>
      <c r="W66" s="8"/>
    </row>
    <row r="67" spans="1:23" ht="14.25" customHeight="1" x14ac:dyDescent="0.5">
      <c r="A67" s="52" t="s">
        <v>121</v>
      </c>
      <c r="B67" s="41"/>
      <c r="C67" s="33">
        <f>IF( AND( (E67 = "Y"), (F67 &gt; 0)), 3, 0) + F67 + H67 + I67</f>
        <v>-1</v>
      </c>
      <c r="D67" s="14" t="s">
        <v>24</v>
      </c>
      <c r="E67" s="34" t="s">
        <v>80</v>
      </c>
      <c r="F67" s="10"/>
      <c r="G67" s="16" t="s">
        <v>72</v>
      </c>
      <c r="H67" s="13">
        <f>C27</f>
        <v>-1</v>
      </c>
      <c r="I67" s="15"/>
      <c r="J67" s="8"/>
      <c r="K67" s="48"/>
      <c r="L67" s="49"/>
      <c r="M67" s="48"/>
      <c r="N67" s="50"/>
      <c r="O67" s="50"/>
      <c r="P67" s="50"/>
      <c r="Q67" s="50"/>
      <c r="R67" s="50"/>
      <c r="S67" s="50"/>
      <c r="T67" s="50"/>
      <c r="U67" s="50"/>
      <c r="V67" s="49"/>
      <c r="W67" s="8"/>
    </row>
    <row r="68" spans="1:23" ht="14.25" customHeight="1" x14ac:dyDescent="0.5">
      <c r="A68" s="51"/>
      <c r="B68" s="41"/>
      <c r="C68" s="8"/>
      <c r="D68" s="8"/>
      <c r="E68" s="8"/>
      <c r="F68" s="8"/>
      <c r="G68" s="8"/>
      <c r="H68" s="8"/>
      <c r="I68" s="8"/>
      <c r="J68" s="8"/>
      <c r="K68" s="48"/>
      <c r="L68" s="49"/>
      <c r="M68" s="48"/>
      <c r="N68" s="50"/>
      <c r="O68" s="50"/>
      <c r="P68" s="50"/>
      <c r="Q68" s="50"/>
      <c r="R68" s="50"/>
      <c r="S68" s="50"/>
      <c r="T68" s="50"/>
      <c r="U68" s="50"/>
      <c r="V68" s="49"/>
      <c r="W68" s="8"/>
    </row>
    <row r="69" spans="1:23" ht="14.25" customHeight="1" x14ac:dyDescent="0.5">
      <c r="A69" s="51"/>
      <c r="B69" s="41"/>
      <c r="C69" s="12" t="s">
        <v>26</v>
      </c>
      <c r="D69" s="8"/>
      <c r="E69" s="31"/>
      <c r="F69" s="12" t="s">
        <v>122</v>
      </c>
      <c r="G69" s="8"/>
      <c r="H69" s="8"/>
      <c r="I69" s="12" t="s">
        <v>61</v>
      </c>
      <c r="J69" s="8"/>
      <c r="K69" s="48"/>
      <c r="L69" s="49"/>
      <c r="M69" s="48"/>
      <c r="N69" s="50"/>
      <c r="O69" s="50"/>
      <c r="P69" s="50"/>
      <c r="Q69" s="50"/>
      <c r="R69" s="50"/>
      <c r="S69" s="50"/>
      <c r="T69" s="50"/>
      <c r="U69" s="50"/>
      <c r="V69" s="49"/>
      <c r="W69" s="8"/>
    </row>
    <row r="70" spans="1:23" ht="14.25" customHeight="1" x14ac:dyDescent="0.5">
      <c r="A70" s="54" t="s">
        <v>123</v>
      </c>
      <c r="B70" s="41"/>
      <c r="C70" s="32">
        <f>(F70 / 2) + I70</f>
        <v>0</v>
      </c>
      <c r="D70" s="14" t="s">
        <v>24</v>
      </c>
      <c r="E70" s="16" t="s">
        <v>47</v>
      </c>
      <c r="F70" s="10">
        <v>0</v>
      </c>
      <c r="G70" s="32" t="s">
        <v>47</v>
      </c>
      <c r="H70" s="32" t="s">
        <v>47</v>
      </c>
      <c r="I70" s="10">
        <v>0</v>
      </c>
      <c r="J70" s="8"/>
      <c r="K70" s="48"/>
      <c r="L70" s="49"/>
      <c r="M70" s="48"/>
      <c r="N70" s="50"/>
      <c r="O70" s="50"/>
      <c r="P70" s="50"/>
      <c r="Q70" s="50"/>
      <c r="R70" s="50"/>
      <c r="S70" s="50"/>
      <c r="T70" s="50"/>
      <c r="U70" s="50"/>
      <c r="V70" s="49"/>
      <c r="W70" s="8"/>
    </row>
    <row r="71" spans="1:23" ht="14.25" customHeight="1" x14ac:dyDescent="0.5">
      <c r="A71" s="51"/>
      <c r="B71" s="41"/>
      <c r="C71" s="8"/>
      <c r="D71" s="8"/>
      <c r="E71" s="8"/>
      <c r="F71" s="8"/>
      <c r="G71" s="8"/>
      <c r="H71" s="8"/>
      <c r="I71" s="8"/>
      <c r="J71" s="8"/>
      <c r="K71" s="48"/>
      <c r="L71" s="49"/>
      <c r="M71" s="48"/>
      <c r="N71" s="50"/>
      <c r="O71" s="50"/>
      <c r="P71" s="50"/>
      <c r="Q71" s="50"/>
      <c r="R71" s="50"/>
      <c r="S71" s="50"/>
      <c r="T71" s="50"/>
      <c r="U71" s="50"/>
      <c r="V71" s="49"/>
      <c r="W71" s="8"/>
    </row>
    <row r="72" spans="1:23" ht="14.25" customHeight="1" x14ac:dyDescent="0.5">
      <c r="A72" s="47" t="s">
        <v>124</v>
      </c>
      <c r="B72" s="41"/>
      <c r="C72" s="47" t="s">
        <v>65</v>
      </c>
      <c r="D72" s="41"/>
      <c r="E72" s="41"/>
      <c r="F72" s="41"/>
      <c r="G72" s="41"/>
      <c r="H72" s="41"/>
      <c r="I72" s="41"/>
      <c r="J72" s="8"/>
      <c r="K72" s="51"/>
      <c r="L72" s="41"/>
      <c r="M72" s="51"/>
      <c r="N72" s="41"/>
      <c r="O72" s="41"/>
      <c r="P72" s="41"/>
      <c r="Q72" s="41"/>
      <c r="R72" s="41"/>
      <c r="S72" s="41"/>
      <c r="T72" s="41"/>
      <c r="U72" s="41"/>
      <c r="V72" s="41"/>
      <c r="W72" s="8"/>
    </row>
    <row r="73" spans="1:23" ht="14.25" customHeight="1" x14ac:dyDescent="0.5">
      <c r="A73" s="48"/>
      <c r="B73" s="49"/>
      <c r="C73" s="48"/>
      <c r="D73" s="50"/>
      <c r="E73" s="50"/>
      <c r="F73" s="50"/>
      <c r="G73" s="50"/>
      <c r="H73" s="50"/>
      <c r="I73" s="49"/>
      <c r="J73" s="8"/>
      <c r="K73" s="52" t="s">
        <v>125</v>
      </c>
      <c r="L73" s="41"/>
      <c r="M73" s="51"/>
      <c r="N73" s="41"/>
      <c r="O73" s="41"/>
      <c r="P73" s="41"/>
      <c r="Q73" s="41"/>
      <c r="R73" s="41"/>
      <c r="S73" s="41"/>
      <c r="T73" s="41"/>
      <c r="U73" s="41"/>
      <c r="V73" s="41"/>
      <c r="W73" s="8"/>
    </row>
    <row r="74" spans="1:23" ht="14.25" customHeight="1" x14ac:dyDescent="0.5">
      <c r="A74" s="48"/>
      <c r="B74" s="49"/>
      <c r="C74" s="48"/>
      <c r="D74" s="50"/>
      <c r="E74" s="50"/>
      <c r="F74" s="50"/>
      <c r="G74" s="50"/>
      <c r="H74" s="50"/>
      <c r="I74" s="49"/>
      <c r="J74" s="8"/>
      <c r="K74" s="48"/>
      <c r="L74" s="49"/>
      <c r="M74" s="68"/>
      <c r="N74" s="50"/>
      <c r="O74" s="50"/>
      <c r="P74" s="50"/>
      <c r="Q74" s="50"/>
      <c r="R74" s="50"/>
      <c r="S74" s="50"/>
      <c r="T74" s="50"/>
      <c r="U74" s="50"/>
      <c r="V74" s="49"/>
      <c r="W74" s="8"/>
    </row>
    <row r="75" spans="1:23" ht="14.25" customHeight="1" x14ac:dyDescent="0.5">
      <c r="A75" s="48"/>
      <c r="B75" s="49"/>
      <c r="C75" s="48"/>
      <c r="D75" s="50"/>
      <c r="E75" s="50"/>
      <c r="F75" s="50"/>
      <c r="G75" s="50"/>
      <c r="H75" s="50"/>
      <c r="I75" s="49"/>
      <c r="J75" s="8"/>
      <c r="K75" s="48"/>
      <c r="L75" s="49"/>
      <c r="M75" s="48"/>
      <c r="N75" s="50"/>
      <c r="O75" s="50"/>
      <c r="P75" s="50"/>
      <c r="Q75" s="50"/>
      <c r="R75" s="50"/>
      <c r="S75" s="50"/>
      <c r="T75" s="50"/>
      <c r="U75" s="50"/>
      <c r="V75" s="49"/>
      <c r="W75" s="8"/>
    </row>
    <row r="76" spans="1:23" ht="14.25" customHeight="1" x14ac:dyDescent="0.5">
      <c r="A76" s="48"/>
      <c r="B76" s="49"/>
      <c r="C76" s="48"/>
      <c r="D76" s="50"/>
      <c r="E76" s="50"/>
      <c r="F76" s="50"/>
      <c r="G76" s="50"/>
      <c r="H76" s="50"/>
      <c r="I76" s="49"/>
      <c r="J76" s="8"/>
      <c r="K76" s="48"/>
      <c r="L76" s="49"/>
      <c r="M76" s="48"/>
      <c r="N76" s="50"/>
      <c r="O76" s="50"/>
      <c r="P76" s="50"/>
      <c r="Q76" s="50"/>
      <c r="R76" s="50"/>
      <c r="S76" s="50"/>
      <c r="T76" s="50"/>
      <c r="U76" s="50"/>
      <c r="V76" s="49"/>
      <c r="W76" s="8"/>
    </row>
    <row r="77" spans="1:23" ht="14.25" customHeight="1" x14ac:dyDescent="0.5">
      <c r="A77" s="48"/>
      <c r="B77" s="49"/>
      <c r="C77" s="48"/>
      <c r="D77" s="50"/>
      <c r="E77" s="50"/>
      <c r="F77" s="50"/>
      <c r="G77" s="50"/>
      <c r="H77" s="50"/>
      <c r="I77" s="49"/>
      <c r="J77" s="8"/>
      <c r="K77" s="48"/>
      <c r="L77" s="49"/>
      <c r="M77" s="48"/>
      <c r="N77" s="50"/>
      <c r="O77" s="50"/>
      <c r="P77" s="50"/>
      <c r="Q77" s="50"/>
      <c r="R77" s="50"/>
      <c r="S77" s="50"/>
      <c r="T77" s="50"/>
      <c r="U77" s="50"/>
      <c r="V77" s="49"/>
      <c r="W77" s="8"/>
    </row>
    <row r="78" spans="1:23" ht="14.25" customHeight="1" x14ac:dyDescent="0.5">
      <c r="J78" s="8"/>
      <c r="K78" s="48"/>
      <c r="L78" s="49"/>
      <c r="M78" s="48"/>
      <c r="N78" s="50"/>
      <c r="O78" s="50"/>
      <c r="P78" s="50"/>
      <c r="Q78" s="50"/>
      <c r="R78" s="50"/>
      <c r="S78" s="50"/>
      <c r="T78" s="50"/>
      <c r="U78" s="50"/>
      <c r="V78" s="49"/>
      <c r="W78" s="8"/>
    </row>
    <row r="79" spans="1:23" ht="14.25" customHeight="1" x14ac:dyDescent="0.5">
      <c r="A79" s="47" t="s">
        <v>126</v>
      </c>
      <c r="B79" s="41"/>
      <c r="C79" s="8"/>
      <c r="D79" s="8"/>
      <c r="E79" s="8"/>
      <c r="F79" s="8"/>
      <c r="G79" s="8"/>
      <c r="H79" s="8"/>
      <c r="I79" s="8"/>
      <c r="J79" s="8"/>
      <c r="K79" s="48"/>
      <c r="L79" s="49"/>
      <c r="M79" s="48"/>
      <c r="N79" s="50"/>
      <c r="O79" s="50"/>
      <c r="P79" s="50"/>
      <c r="Q79" s="50"/>
      <c r="R79" s="50"/>
      <c r="S79" s="50"/>
      <c r="T79" s="50"/>
      <c r="U79" s="50"/>
      <c r="V79" s="49"/>
      <c r="W79" s="8"/>
    </row>
    <row r="80" spans="1:23" ht="14.25" customHeight="1" x14ac:dyDescent="0.5">
      <c r="A80" s="48"/>
      <c r="B80" s="50"/>
      <c r="C80" s="50"/>
      <c r="D80" s="50"/>
      <c r="E80" s="50"/>
      <c r="F80" s="50"/>
      <c r="G80" s="50"/>
      <c r="H80" s="50"/>
      <c r="I80" s="49"/>
      <c r="J80" s="8"/>
      <c r="K80" s="48"/>
      <c r="L80" s="49"/>
      <c r="M80" s="48"/>
      <c r="N80" s="50"/>
      <c r="O80" s="50"/>
      <c r="P80" s="50"/>
      <c r="Q80" s="50"/>
      <c r="R80" s="50"/>
      <c r="S80" s="50"/>
      <c r="T80" s="50"/>
      <c r="U80" s="50"/>
      <c r="V80" s="49"/>
      <c r="W80" s="8"/>
    </row>
    <row r="81" spans="1:23" ht="14.25" customHeight="1" x14ac:dyDescent="0.5">
      <c r="A81" s="48"/>
      <c r="B81" s="50"/>
      <c r="C81" s="50"/>
      <c r="D81" s="50"/>
      <c r="E81" s="50"/>
      <c r="F81" s="50"/>
      <c r="G81" s="50"/>
      <c r="H81" s="50"/>
      <c r="I81" s="49"/>
      <c r="J81" s="8"/>
      <c r="K81" s="48"/>
      <c r="L81" s="49"/>
      <c r="M81" s="48"/>
      <c r="N81" s="50"/>
      <c r="O81" s="50"/>
      <c r="P81" s="50"/>
      <c r="Q81" s="50"/>
      <c r="R81" s="50"/>
      <c r="S81" s="50"/>
      <c r="T81" s="50"/>
      <c r="U81" s="50"/>
      <c r="V81" s="49"/>
      <c r="W81" s="8"/>
    </row>
    <row r="82" spans="1:23" ht="14.25" customHeight="1" x14ac:dyDescent="0.5">
      <c r="A82" s="48"/>
      <c r="B82" s="50"/>
      <c r="C82" s="50"/>
      <c r="D82" s="50"/>
      <c r="E82" s="50"/>
      <c r="F82" s="50"/>
      <c r="G82" s="50"/>
      <c r="H82" s="50"/>
      <c r="I82" s="49"/>
      <c r="J82" s="8"/>
      <c r="K82" s="48"/>
      <c r="L82" s="49"/>
      <c r="M82" s="48"/>
      <c r="N82" s="50"/>
      <c r="O82" s="50"/>
      <c r="P82" s="50"/>
      <c r="Q82" s="50"/>
      <c r="R82" s="50"/>
      <c r="S82" s="50"/>
      <c r="T82" s="50"/>
      <c r="U82" s="50"/>
      <c r="V82" s="49"/>
      <c r="W82" s="8"/>
    </row>
    <row r="83" spans="1:23" ht="14.25" customHeight="1" x14ac:dyDescent="0.5">
      <c r="A83" s="48"/>
      <c r="B83" s="50"/>
      <c r="C83" s="50"/>
      <c r="D83" s="50"/>
      <c r="E83" s="50"/>
      <c r="F83" s="50"/>
      <c r="G83" s="50"/>
      <c r="H83" s="50"/>
      <c r="I83" s="49"/>
      <c r="J83" s="8"/>
      <c r="K83" s="48"/>
      <c r="L83" s="49"/>
      <c r="M83" s="48"/>
      <c r="N83" s="50"/>
      <c r="O83" s="50"/>
      <c r="P83" s="50"/>
      <c r="Q83" s="50"/>
      <c r="R83" s="50"/>
      <c r="S83" s="50"/>
      <c r="T83" s="50"/>
      <c r="U83" s="50"/>
      <c r="V83" s="49"/>
      <c r="W83" s="8"/>
    </row>
    <row r="84" spans="1:23" ht="14.25" customHeight="1" x14ac:dyDescent="0.5">
      <c r="A84" s="48"/>
      <c r="B84" s="50"/>
      <c r="C84" s="50"/>
      <c r="D84" s="50"/>
      <c r="E84" s="50"/>
      <c r="F84" s="50"/>
      <c r="G84" s="50"/>
      <c r="H84" s="50"/>
      <c r="I84" s="49"/>
      <c r="J84" s="8"/>
      <c r="K84" s="51"/>
      <c r="L84" s="41"/>
      <c r="M84" s="51"/>
      <c r="N84" s="41"/>
      <c r="O84" s="41"/>
      <c r="P84" s="41"/>
      <c r="Q84" s="41"/>
      <c r="R84" s="41"/>
      <c r="S84" s="41"/>
      <c r="T84" s="41"/>
      <c r="U84" s="41"/>
      <c r="V84" s="41"/>
      <c r="W84" s="8"/>
    </row>
    <row r="85" spans="1:23" ht="14.25" customHeight="1" x14ac:dyDescent="0.5">
      <c r="A85" s="48"/>
      <c r="B85" s="50"/>
      <c r="C85" s="50"/>
      <c r="D85" s="50"/>
      <c r="E85" s="50"/>
      <c r="F85" s="50"/>
      <c r="G85" s="50"/>
      <c r="H85" s="50"/>
      <c r="I85" s="49"/>
      <c r="J85" s="8"/>
      <c r="K85" s="47" t="s">
        <v>126</v>
      </c>
      <c r="L85" s="41"/>
      <c r="M85" s="51"/>
      <c r="N85" s="41"/>
      <c r="O85" s="41"/>
      <c r="P85" s="41"/>
      <c r="Q85" s="41"/>
      <c r="R85" s="41"/>
      <c r="S85" s="41"/>
      <c r="T85" s="41"/>
      <c r="U85" s="41"/>
      <c r="V85" s="41"/>
      <c r="W85" s="8"/>
    </row>
    <row r="86" spans="1:23" ht="14.25" customHeight="1" x14ac:dyDescent="0.5">
      <c r="A86" s="48"/>
      <c r="B86" s="50"/>
      <c r="C86" s="50"/>
      <c r="D86" s="50"/>
      <c r="E86" s="50"/>
      <c r="F86" s="50"/>
      <c r="G86" s="50"/>
      <c r="H86" s="50"/>
      <c r="I86" s="49"/>
      <c r="J86" s="8"/>
      <c r="K86" s="48"/>
      <c r="L86" s="49"/>
      <c r="M86" s="48"/>
      <c r="N86" s="50"/>
      <c r="O86" s="50"/>
      <c r="P86" s="50"/>
      <c r="Q86" s="50"/>
      <c r="R86" s="50"/>
      <c r="S86" s="50"/>
      <c r="T86" s="50"/>
      <c r="U86" s="50"/>
      <c r="V86" s="49"/>
      <c r="W86" s="8"/>
    </row>
    <row r="87" spans="1:23" ht="14.25" customHeight="1" x14ac:dyDescent="0.5">
      <c r="A87" s="48"/>
      <c r="B87" s="50"/>
      <c r="C87" s="50"/>
      <c r="D87" s="50"/>
      <c r="E87" s="50"/>
      <c r="F87" s="50"/>
      <c r="G87" s="50"/>
      <c r="H87" s="50"/>
      <c r="I87" s="49"/>
      <c r="J87" s="8"/>
      <c r="K87" s="48"/>
      <c r="L87" s="49"/>
      <c r="M87" s="48"/>
      <c r="N87" s="50"/>
      <c r="O87" s="50"/>
      <c r="P87" s="50"/>
      <c r="Q87" s="50"/>
      <c r="R87" s="50"/>
      <c r="S87" s="50"/>
      <c r="T87" s="50"/>
      <c r="U87" s="50"/>
      <c r="V87" s="49"/>
      <c r="W87" s="8"/>
    </row>
    <row r="88" spans="1:23" ht="14.25" customHeight="1" x14ac:dyDescent="0.5">
      <c r="A88" s="48"/>
      <c r="B88" s="50"/>
      <c r="C88" s="50"/>
      <c r="D88" s="50"/>
      <c r="E88" s="50"/>
      <c r="F88" s="50"/>
      <c r="G88" s="50"/>
      <c r="H88" s="50"/>
      <c r="I88" s="49"/>
      <c r="J88" s="8"/>
      <c r="K88" s="48"/>
      <c r="L88" s="49"/>
      <c r="M88" s="48"/>
      <c r="N88" s="50"/>
      <c r="O88" s="50"/>
      <c r="P88" s="50"/>
      <c r="Q88" s="50"/>
      <c r="R88" s="50"/>
      <c r="S88" s="50"/>
      <c r="T88" s="50"/>
      <c r="U88" s="50"/>
      <c r="V88" s="49"/>
      <c r="W88" s="8"/>
    </row>
    <row r="89" spans="1:23" ht="14.25" customHeight="1" x14ac:dyDescent="0.5">
      <c r="A89" s="48"/>
      <c r="B89" s="50"/>
      <c r="C89" s="50"/>
      <c r="D89" s="50"/>
      <c r="E89" s="50"/>
      <c r="F89" s="50"/>
      <c r="G89" s="50"/>
      <c r="H89" s="50"/>
      <c r="I89" s="49"/>
      <c r="J89" s="8"/>
      <c r="K89" s="48"/>
      <c r="L89" s="49"/>
      <c r="M89" s="48"/>
      <c r="N89" s="50"/>
      <c r="O89" s="50"/>
      <c r="P89" s="50"/>
      <c r="Q89" s="50"/>
      <c r="R89" s="50"/>
      <c r="S89" s="50"/>
      <c r="T89" s="50"/>
      <c r="U89" s="50"/>
      <c r="V89" s="49"/>
      <c r="W89" s="8"/>
    </row>
    <row r="90" spans="1:23" ht="14.25" customHeight="1" x14ac:dyDescent="0.5">
      <c r="A90" s="48"/>
      <c r="B90" s="50"/>
      <c r="C90" s="50"/>
      <c r="D90" s="50"/>
      <c r="E90" s="50"/>
      <c r="F90" s="50"/>
      <c r="G90" s="50"/>
      <c r="H90" s="50"/>
      <c r="I90" s="49"/>
      <c r="J90" s="8"/>
      <c r="K90" s="48"/>
      <c r="L90" s="49"/>
      <c r="M90" s="48"/>
      <c r="N90" s="50"/>
      <c r="O90" s="50"/>
      <c r="P90" s="50"/>
      <c r="Q90" s="50"/>
      <c r="R90" s="50"/>
      <c r="S90" s="50"/>
      <c r="T90" s="50"/>
      <c r="U90" s="50"/>
      <c r="V90" s="49"/>
      <c r="W90" s="8"/>
    </row>
    <row r="91" spans="1:23" ht="14.25" customHeight="1" x14ac:dyDescent="0.5">
      <c r="A91" s="48"/>
      <c r="B91" s="50"/>
      <c r="C91" s="50"/>
      <c r="D91" s="50"/>
      <c r="E91" s="50"/>
      <c r="F91" s="50"/>
      <c r="G91" s="50"/>
      <c r="H91" s="50"/>
      <c r="I91" s="49"/>
      <c r="J91" s="8"/>
      <c r="K91" s="48"/>
      <c r="L91" s="49"/>
      <c r="M91" s="48"/>
      <c r="N91" s="50"/>
      <c r="O91" s="50"/>
      <c r="P91" s="50"/>
      <c r="Q91" s="50"/>
      <c r="R91" s="50"/>
      <c r="S91" s="50"/>
      <c r="T91" s="50"/>
      <c r="U91" s="50"/>
      <c r="V91" s="49"/>
      <c r="W91" s="8"/>
    </row>
    <row r="92" spans="1:23" ht="14.25" customHeight="1" x14ac:dyDescent="0.5">
      <c r="A92" s="48"/>
      <c r="B92" s="50"/>
      <c r="C92" s="50"/>
      <c r="D92" s="50"/>
      <c r="E92" s="50"/>
      <c r="F92" s="50"/>
      <c r="G92" s="50"/>
      <c r="H92" s="50"/>
      <c r="I92" s="49"/>
      <c r="J92" s="8"/>
      <c r="K92" s="48"/>
      <c r="L92" s="49"/>
      <c r="M92" s="48"/>
      <c r="N92" s="50"/>
      <c r="O92" s="50"/>
      <c r="P92" s="50"/>
      <c r="Q92" s="50"/>
      <c r="R92" s="50"/>
      <c r="S92" s="50"/>
      <c r="T92" s="50"/>
      <c r="U92" s="50"/>
      <c r="V92" s="49"/>
      <c r="W92" s="8"/>
    </row>
    <row r="93" spans="1:23" ht="14.25" customHeight="1" x14ac:dyDescent="0.5">
      <c r="A93" s="48"/>
      <c r="B93" s="50"/>
      <c r="C93" s="50"/>
      <c r="D93" s="50"/>
      <c r="E93" s="50"/>
      <c r="F93" s="50"/>
      <c r="G93" s="50"/>
      <c r="H93" s="50"/>
      <c r="I93" s="49"/>
      <c r="J93" s="8"/>
      <c r="K93" s="48"/>
      <c r="L93" s="49"/>
      <c r="M93" s="48"/>
      <c r="N93" s="50"/>
      <c r="O93" s="50"/>
      <c r="P93" s="50"/>
      <c r="Q93" s="50"/>
      <c r="R93" s="50"/>
      <c r="S93" s="50"/>
      <c r="T93" s="50"/>
      <c r="U93" s="50"/>
      <c r="V93" s="49"/>
      <c r="W93" s="8"/>
    </row>
    <row r="94" spans="1:23" ht="14.25" customHeight="1" x14ac:dyDescent="0.5">
      <c r="A94" s="48"/>
      <c r="B94" s="50"/>
      <c r="C94" s="50"/>
      <c r="D94" s="50"/>
      <c r="E94" s="50"/>
      <c r="F94" s="50"/>
      <c r="G94" s="50"/>
      <c r="H94" s="50"/>
      <c r="I94" s="49"/>
      <c r="J94" s="8"/>
      <c r="K94" s="48"/>
      <c r="L94" s="49"/>
      <c r="M94" s="48"/>
      <c r="N94" s="50"/>
      <c r="O94" s="50"/>
      <c r="P94" s="50"/>
      <c r="Q94" s="50"/>
      <c r="R94" s="50"/>
      <c r="S94" s="50"/>
      <c r="T94" s="50"/>
      <c r="U94" s="50"/>
      <c r="V94" s="49"/>
      <c r="W94" s="8"/>
    </row>
    <row r="95" spans="1:23" ht="14.25" customHeight="1" x14ac:dyDescent="0.5">
      <c r="A95" s="48"/>
      <c r="B95" s="50"/>
      <c r="C95" s="50"/>
      <c r="D95" s="50"/>
      <c r="E95" s="50"/>
      <c r="F95" s="50"/>
      <c r="G95" s="50"/>
      <c r="H95" s="50"/>
      <c r="I95" s="49"/>
      <c r="J95" s="8"/>
      <c r="K95" s="48"/>
      <c r="L95" s="49"/>
      <c r="M95" s="48"/>
      <c r="N95" s="50"/>
      <c r="O95" s="50"/>
      <c r="P95" s="50"/>
      <c r="Q95" s="50"/>
      <c r="R95" s="50"/>
      <c r="S95" s="50"/>
      <c r="T95" s="50"/>
      <c r="U95" s="50"/>
      <c r="V95" s="49"/>
      <c r="W95" s="8"/>
    </row>
    <row r="96" spans="1:23" ht="14.25" customHeight="1" x14ac:dyDescent="0.5">
      <c r="A96" s="48"/>
      <c r="B96" s="50"/>
      <c r="C96" s="50"/>
      <c r="D96" s="50"/>
      <c r="E96" s="50"/>
      <c r="F96" s="50"/>
      <c r="G96" s="50"/>
      <c r="H96" s="50"/>
      <c r="I96" s="49"/>
      <c r="J96" s="8"/>
      <c r="K96" s="48"/>
      <c r="L96" s="49"/>
      <c r="M96" s="48"/>
      <c r="N96" s="50"/>
      <c r="O96" s="50"/>
      <c r="P96" s="50"/>
      <c r="Q96" s="50"/>
      <c r="R96" s="50"/>
      <c r="S96" s="50"/>
      <c r="T96" s="50"/>
      <c r="U96" s="50"/>
      <c r="V96" s="49"/>
      <c r="W96" s="8"/>
    </row>
    <row r="97" spans="1:23" ht="14.25" customHeight="1" x14ac:dyDescent="0.5">
      <c r="A97" s="48"/>
      <c r="B97" s="50"/>
      <c r="C97" s="50"/>
      <c r="D97" s="50"/>
      <c r="E97" s="50"/>
      <c r="F97" s="50"/>
      <c r="G97" s="50"/>
      <c r="H97" s="50"/>
      <c r="I97" s="49"/>
      <c r="J97" s="8"/>
      <c r="K97" s="48"/>
      <c r="L97" s="49"/>
      <c r="M97" s="48"/>
      <c r="N97" s="50"/>
      <c r="O97" s="50"/>
      <c r="P97" s="50"/>
      <c r="Q97" s="50"/>
      <c r="R97" s="50"/>
      <c r="S97" s="50"/>
      <c r="T97" s="50"/>
      <c r="U97" s="50"/>
      <c r="V97" s="49"/>
      <c r="W97" s="8"/>
    </row>
    <row r="98" spans="1:23" ht="14.25" customHeight="1" x14ac:dyDescent="0.5">
      <c r="A98" s="48"/>
      <c r="B98" s="50"/>
      <c r="C98" s="50"/>
      <c r="D98" s="50"/>
      <c r="E98" s="50"/>
      <c r="F98" s="50"/>
      <c r="G98" s="50"/>
      <c r="H98" s="50"/>
      <c r="I98" s="49"/>
      <c r="J98" s="8"/>
      <c r="K98" s="48"/>
      <c r="L98" s="49"/>
      <c r="M98" s="48"/>
      <c r="N98" s="50"/>
      <c r="O98" s="50"/>
      <c r="P98" s="50"/>
      <c r="Q98" s="50"/>
      <c r="R98" s="50"/>
      <c r="S98" s="50"/>
      <c r="T98" s="50"/>
      <c r="U98" s="50"/>
      <c r="V98" s="49"/>
      <c r="W98" s="8"/>
    </row>
    <row r="99" spans="1:23" ht="14.25" customHeight="1" x14ac:dyDescent="0.5">
      <c r="A99" s="48"/>
      <c r="B99" s="50"/>
      <c r="C99" s="50"/>
      <c r="D99" s="50"/>
      <c r="E99" s="50"/>
      <c r="F99" s="50"/>
      <c r="G99" s="50"/>
      <c r="H99" s="50"/>
      <c r="I99" s="49"/>
      <c r="J99" s="8"/>
      <c r="K99" s="48"/>
      <c r="L99" s="49"/>
      <c r="M99" s="48"/>
      <c r="N99" s="50"/>
      <c r="O99" s="50"/>
      <c r="P99" s="50"/>
      <c r="Q99" s="50"/>
      <c r="R99" s="50"/>
      <c r="S99" s="50"/>
      <c r="T99" s="50"/>
      <c r="U99" s="50"/>
      <c r="V99" s="49"/>
      <c r="W99" s="8"/>
    </row>
    <row r="100" spans="1:23" ht="14.25" customHeight="1" x14ac:dyDescent="0.5">
      <c r="A100" s="48"/>
      <c r="B100" s="50"/>
      <c r="C100" s="50"/>
      <c r="D100" s="50"/>
      <c r="E100" s="50"/>
      <c r="F100" s="50"/>
      <c r="G100" s="50"/>
      <c r="H100" s="50"/>
      <c r="I100" s="49"/>
      <c r="J100" s="8"/>
      <c r="K100" s="48"/>
      <c r="L100" s="49"/>
      <c r="M100" s="48"/>
      <c r="N100" s="50"/>
      <c r="O100" s="50"/>
      <c r="P100" s="50"/>
      <c r="Q100" s="50"/>
      <c r="R100" s="50"/>
      <c r="S100" s="50"/>
      <c r="T100" s="50"/>
      <c r="U100" s="50"/>
      <c r="V100" s="49"/>
      <c r="W100" s="8"/>
    </row>
    <row r="101" spans="1:23" ht="14.25" customHeight="1" x14ac:dyDescent="0.5">
      <c r="A101" s="48"/>
      <c r="B101" s="50"/>
      <c r="C101" s="50"/>
      <c r="D101" s="50"/>
      <c r="E101" s="50"/>
      <c r="F101" s="50"/>
      <c r="G101" s="50"/>
      <c r="H101" s="50"/>
      <c r="I101" s="49"/>
      <c r="J101" s="8"/>
      <c r="K101" s="48"/>
      <c r="L101" s="49"/>
      <c r="M101" s="48"/>
      <c r="N101" s="50"/>
      <c r="O101" s="50"/>
      <c r="P101" s="50"/>
      <c r="Q101" s="50"/>
      <c r="R101" s="50"/>
      <c r="S101" s="50"/>
      <c r="T101" s="50"/>
      <c r="U101" s="50"/>
      <c r="V101" s="49"/>
      <c r="W101" s="8"/>
    </row>
    <row r="102" spans="1:23" ht="14.25" customHeight="1" x14ac:dyDescent="0.5">
      <c r="A102" s="48"/>
      <c r="B102" s="50"/>
      <c r="C102" s="50"/>
      <c r="D102" s="50"/>
      <c r="E102" s="50"/>
      <c r="F102" s="50"/>
      <c r="G102" s="50"/>
      <c r="H102" s="50"/>
      <c r="I102" s="49"/>
      <c r="J102" s="8"/>
      <c r="K102" s="48"/>
      <c r="L102" s="49"/>
      <c r="M102" s="48"/>
      <c r="N102" s="50"/>
      <c r="O102" s="50"/>
      <c r="P102" s="50"/>
      <c r="Q102" s="50"/>
      <c r="R102" s="50"/>
      <c r="S102" s="50"/>
      <c r="T102" s="50"/>
      <c r="U102" s="50"/>
      <c r="V102" s="49"/>
      <c r="W102" s="8"/>
    </row>
    <row r="103" spans="1:23" ht="14.25" customHeight="1" x14ac:dyDescent="0.5">
      <c r="A103" s="48"/>
      <c r="B103" s="50"/>
      <c r="C103" s="50"/>
      <c r="D103" s="50"/>
      <c r="E103" s="50"/>
      <c r="F103" s="50"/>
      <c r="G103" s="50"/>
      <c r="H103" s="50"/>
      <c r="I103" s="49"/>
      <c r="J103" s="8"/>
      <c r="K103" s="48"/>
      <c r="L103" s="49"/>
      <c r="M103" s="48"/>
      <c r="N103" s="50"/>
      <c r="O103" s="50"/>
      <c r="P103" s="50"/>
      <c r="Q103" s="50"/>
      <c r="R103" s="50"/>
      <c r="S103" s="50"/>
      <c r="T103" s="50"/>
      <c r="U103" s="50"/>
      <c r="V103" s="49"/>
      <c r="W103" s="8"/>
    </row>
    <row r="104" spans="1:23" ht="14.25" customHeight="1" x14ac:dyDescent="0.5">
      <c r="A104" s="48"/>
      <c r="B104" s="50"/>
      <c r="C104" s="50"/>
      <c r="D104" s="50"/>
      <c r="E104" s="50"/>
      <c r="F104" s="50"/>
      <c r="G104" s="50"/>
      <c r="H104" s="50"/>
      <c r="I104" s="49"/>
      <c r="J104" s="8"/>
      <c r="K104" s="48"/>
      <c r="L104" s="49"/>
      <c r="M104" s="48"/>
      <c r="N104" s="50"/>
      <c r="O104" s="50"/>
      <c r="P104" s="50"/>
      <c r="Q104" s="50"/>
      <c r="R104" s="50"/>
      <c r="S104" s="50"/>
      <c r="T104" s="50"/>
      <c r="U104" s="50"/>
      <c r="V104" s="49"/>
      <c r="W104" s="8"/>
    </row>
    <row r="105" spans="1:23" ht="14.25" customHeight="1" x14ac:dyDescent="0.5">
      <c r="A105" s="48"/>
      <c r="B105" s="50"/>
      <c r="C105" s="50"/>
      <c r="D105" s="50"/>
      <c r="E105" s="50"/>
      <c r="F105" s="50"/>
      <c r="G105" s="50"/>
      <c r="H105" s="50"/>
      <c r="I105" s="49"/>
      <c r="J105" s="8"/>
      <c r="K105" s="48"/>
      <c r="L105" s="49"/>
      <c r="M105" s="48"/>
      <c r="N105" s="50"/>
      <c r="O105" s="50"/>
      <c r="P105" s="50"/>
      <c r="Q105" s="50"/>
      <c r="R105" s="50"/>
      <c r="S105" s="50"/>
      <c r="T105" s="50"/>
      <c r="U105" s="50"/>
      <c r="V105" s="49"/>
      <c r="W105" s="8"/>
    </row>
    <row r="106" spans="1:23" ht="14.25" customHeight="1" x14ac:dyDescent="0.5">
      <c r="A106" s="48"/>
      <c r="B106" s="50"/>
      <c r="C106" s="50"/>
      <c r="D106" s="50"/>
      <c r="E106" s="50"/>
      <c r="F106" s="50"/>
      <c r="G106" s="50"/>
      <c r="H106" s="50"/>
      <c r="I106" s="49"/>
      <c r="J106" s="8"/>
      <c r="K106" s="48"/>
      <c r="L106" s="49"/>
      <c r="M106" s="48"/>
      <c r="N106" s="50"/>
      <c r="O106" s="50"/>
      <c r="P106" s="50"/>
      <c r="Q106" s="50"/>
      <c r="R106" s="50"/>
      <c r="S106" s="50"/>
      <c r="T106" s="50"/>
      <c r="U106" s="50"/>
      <c r="V106" s="49"/>
      <c r="W106" s="8"/>
    </row>
    <row r="107" spans="1:23" ht="14.25" customHeight="1" x14ac:dyDescent="0.5">
      <c r="A107" s="48"/>
      <c r="B107" s="50"/>
      <c r="C107" s="50"/>
      <c r="D107" s="50"/>
      <c r="E107" s="50"/>
      <c r="F107" s="50"/>
      <c r="G107" s="50"/>
      <c r="H107" s="50"/>
      <c r="I107" s="49"/>
      <c r="J107" s="8"/>
      <c r="K107" s="48"/>
      <c r="L107" s="49"/>
      <c r="M107" s="48"/>
      <c r="N107" s="50"/>
      <c r="O107" s="50"/>
      <c r="P107" s="50"/>
      <c r="Q107" s="50"/>
      <c r="R107" s="50"/>
      <c r="S107" s="50"/>
      <c r="T107" s="50"/>
      <c r="U107" s="50"/>
      <c r="V107" s="49"/>
      <c r="W107" s="8"/>
    </row>
    <row r="108" spans="1:23" ht="14.25" customHeight="1" x14ac:dyDescent="0.5">
      <c r="A108" s="48"/>
      <c r="B108" s="50"/>
      <c r="C108" s="50"/>
      <c r="D108" s="50"/>
      <c r="E108" s="50"/>
      <c r="F108" s="50"/>
      <c r="G108" s="50"/>
      <c r="H108" s="50"/>
      <c r="I108" s="49"/>
      <c r="J108" s="8"/>
      <c r="K108" s="48"/>
      <c r="L108" s="49"/>
      <c r="M108" s="48"/>
      <c r="N108" s="50"/>
      <c r="O108" s="50"/>
      <c r="P108" s="50"/>
      <c r="Q108" s="50"/>
      <c r="R108" s="50"/>
      <c r="S108" s="50"/>
      <c r="T108" s="50"/>
      <c r="U108" s="50"/>
      <c r="V108" s="49"/>
      <c r="W108" s="8"/>
    </row>
    <row r="109" spans="1:23" ht="14.25" customHeight="1" x14ac:dyDescent="0.5">
      <c r="A109" s="48"/>
      <c r="B109" s="50"/>
      <c r="C109" s="50"/>
      <c r="D109" s="50"/>
      <c r="E109" s="50"/>
      <c r="F109" s="50"/>
      <c r="G109" s="50"/>
      <c r="H109" s="50"/>
      <c r="I109" s="49"/>
      <c r="J109" s="8"/>
      <c r="K109" s="48"/>
      <c r="L109" s="49"/>
      <c r="M109" s="48"/>
      <c r="N109" s="50"/>
      <c r="O109" s="50"/>
      <c r="P109" s="50"/>
      <c r="Q109" s="50"/>
      <c r="R109" s="50"/>
      <c r="S109" s="50"/>
      <c r="T109" s="50"/>
      <c r="U109" s="50"/>
      <c r="V109" s="49"/>
      <c r="W109" s="8"/>
    </row>
    <row r="110" spans="1:23" ht="14.25" customHeight="1" x14ac:dyDescent="0.5">
      <c r="J110" s="8"/>
      <c r="W110" s="8"/>
    </row>
  </sheetData>
  <mergeCells count="329">
    <mergeCell ref="M90:V90"/>
    <mergeCell ref="M91:V91"/>
    <mergeCell ref="M92:V92"/>
    <mergeCell ref="M93:V93"/>
    <mergeCell ref="M81:V81"/>
    <mergeCell ref="M82:V82"/>
    <mergeCell ref="M83:V83"/>
    <mergeCell ref="M84:V84"/>
    <mergeCell ref="M85:V85"/>
    <mergeCell ref="M86:V86"/>
    <mergeCell ref="M87:V87"/>
    <mergeCell ref="M88:V88"/>
    <mergeCell ref="M89:V89"/>
    <mergeCell ref="M72:V72"/>
    <mergeCell ref="M73:V73"/>
    <mergeCell ref="M74:V74"/>
    <mergeCell ref="M75:V75"/>
    <mergeCell ref="M76:V76"/>
    <mergeCell ref="M77:V77"/>
    <mergeCell ref="M78:V78"/>
    <mergeCell ref="M79:V79"/>
    <mergeCell ref="M80:V80"/>
    <mergeCell ref="M63:V63"/>
    <mergeCell ref="M64:V64"/>
    <mergeCell ref="M65:V65"/>
    <mergeCell ref="M66:V66"/>
    <mergeCell ref="M67:V67"/>
    <mergeCell ref="M68:V68"/>
    <mergeCell ref="M69:V69"/>
    <mergeCell ref="M70:V70"/>
    <mergeCell ref="M71:V71"/>
    <mergeCell ref="M54:V54"/>
    <mergeCell ref="M55:V55"/>
    <mergeCell ref="M56:V56"/>
    <mergeCell ref="M57:V57"/>
    <mergeCell ref="M58:V58"/>
    <mergeCell ref="M59:V59"/>
    <mergeCell ref="M60:V60"/>
    <mergeCell ref="M61:V61"/>
    <mergeCell ref="M62:V62"/>
    <mergeCell ref="P43:V43"/>
    <mergeCell ref="P44:V44"/>
    <mergeCell ref="P45:V45"/>
    <mergeCell ref="O46:U46"/>
    <mergeCell ref="Q48:T48"/>
    <mergeCell ref="Q49:T49"/>
    <mergeCell ref="Q50:T50"/>
    <mergeCell ref="M52:V52"/>
    <mergeCell ref="M53:V53"/>
    <mergeCell ref="A109:I109"/>
    <mergeCell ref="A96:I96"/>
    <mergeCell ref="A97:I97"/>
    <mergeCell ref="A98:I98"/>
    <mergeCell ref="A99:I99"/>
    <mergeCell ref="A100:I100"/>
    <mergeCell ref="A101:I101"/>
    <mergeCell ref="A102:I102"/>
    <mergeCell ref="M94:V94"/>
    <mergeCell ref="M95:V95"/>
    <mergeCell ref="M96:V96"/>
    <mergeCell ref="M97:V97"/>
    <mergeCell ref="M98:V98"/>
    <mergeCell ref="M99:V99"/>
    <mergeCell ref="M100:V100"/>
    <mergeCell ref="M108:V108"/>
    <mergeCell ref="M109:V109"/>
    <mergeCell ref="M101:V101"/>
    <mergeCell ref="M102:V102"/>
    <mergeCell ref="M103:V103"/>
    <mergeCell ref="M104:V104"/>
    <mergeCell ref="M105:V105"/>
    <mergeCell ref="M106:V106"/>
    <mergeCell ref="M107:V107"/>
    <mergeCell ref="A93:I93"/>
    <mergeCell ref="A94:I94"/>
    <mergeCell ref="A95:I95"/>
    <mergeCell ref="A103:I103"/>
    <mergeCell ref="A104:I104"/>
    <mergeCell ref="A105:I105"/>
    <mergeCell ref="A106:I106"/>
    <mergeCell ref="A107:I107"/>
    <mergeCell ref="A108:I108"/>
    <mergeCell ref="K60:L60"/>
    <mergeCell ref="K61:L61"/>
    <mergeCell ref="K62:L62"/>
    <mergeCell ref="K63:L63"/>
    <mergeCell ref="K64:L64"/>
    <mergeCell ref="A89:I89"/>
    <mergeCell ref="A90:I90"/>
    <mergeCell ref="A91:I91"/>
    <mergeCell ref="A92:I92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107:L107"/>
    <mergeCell ref="K108:L108"/>
    <mergeCell ref="K109:L109"/>
    <mergeCell ref="K100:L100"/>
    <mergeCell ref="K101:L101"/>
    <mergeCell ref="K102:L102"/>
    <mergeCell ref="K103:L103"/>
    <mergeCell ref="K104:L104"/>
    <mergeCell ref="K105:L105"/>
    <mergeCell ref="K106:L106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P42:V42"/>
    <mergeCell ref="K65:L65"/>
    <mergeCell ref="K66:L66"/>
    <mergeCell ref="K67:L67"/>
    <mergeCell ref="K68:L68"/>
    <mergeCell ref="K69:L69"/>
    <mergeCell ref="K70:L70"/>
    <mergeCell ref="K71:L71"/>
    <mergeCell ref="K72:L72"/>
    <mergeCell ref="M45:N45"/>
    <mergeCell ref="M47:N47"/>
    <mergeCell ref="M49:N49"/>
    <mergeCell ref="K42:L42"/>
    <mergeCell ref="M42:N42"/>
    <mergeCell ref="K43:L43"/>
    <mergeCell ref="M43:N43"/>
    <mergeCell ref="M44:N44"/>
    <mergeCell ref="K44:L44"/>
    <mergeCell ref="K45:L45"/>
    <mergeCell ref="K46:L46"/>
    <mergeCell ref="K47:L47"/>
    <mergeCell ref="K48:L48"/>
    <mergeCell ref="K49:L49"/>
    <mergeCell ref="K50:L50"/>
    <mergeCell ref="K37:L37"/>
    <mergeCell ref="M37:N37"/>
    <mergeCell ref="P37:V37"/>
    <mergeCell ref="K38:L38"/>
    <mergeCell ref="M38:N38"/>
    <mergeCell ref="P38:V38"/>
    <mergeCell ref="P39:V39"/>
    <mergeCell ref="P40:V40"/>
    <mergeCell ref="P41:V41"/>
    <mergeCell ref="K39:L39"/>
    <mergeCell ref="M39:N39"/>
    <mergeCell ref="K40:L40"/>
    <mergeCell ref="M40:N40"/>
    <mergeCell ref="K41:L41"/>
    <mergeCell ref="M41:N41"/>
    <mergeCell ref="K29:L29"/>
    <mergeCell ref="M29:N29"/>
    <mergeCell ref="A30:B30"/>
    <mergeCell ref="M30:N30"/>
    <mergeCell ref="M31:N31"/>
    <mergeCell ref="K34:L34"/>
    <mergeCell ref="K35:L35"/>
    <mergeCell ref="P35:V35"/>
    <mergeCell ref="P36:V36"/>
    <mergeCell ref="K30:L30"/>
    <mergeCell ref="K31:L31"/>
    <mergeCell ref="K32:L32"/>
    <mergeCell ref="M32:N32"/>
    <mergeCell ref="K33:L33"/>
    <mergeCell ref="M33:N33"/>
    <mergeCell ref="M34:N34"/>
    <mergeCell ref="M35:N35"/>
    <mergeCell ref="K36:L36"/>
    <mergeCell ref="M36:N36"/>
    <mergeCell ref="K25:L25"/>
    <mergeCell ref="M25:N25"/>
    <mergeCell ref="P25:V25"/>
    <mergeCell ref="K26:L26"/>
    <mergeCell ref="M26:N26"/>
    <mergeCell ref="K27:L27"/>
    <mergeCell ref="M27:N27"/>
    <mergeCell ref="K28:L28"/>
    <mergeCell ref="M28:N28"/>
    <mergeCell ref="M19:N19"/>
    <mergeCell ref="T19:U19"/>
    <mergeCell ref="K22:L22"/>
    <mergeCell ref="M22:N22"/>
    <mergeCell ref="P22:V22"/>
    <mergeCell ref="K23:L23"/>
    <mergeCell ref="M23:N23"/>
    <mergeCell ref="P23:V23"/>
    <mergeCell ref="K24:L24"/>
    <mergeCell ref="P33:V33"/>
    <mergeCell ref="P34:V34"/>
    <mergeCell ref="P26:V26"/>
    <mergeCell ref="P27:V27"/>
    <mergeCell ref="P28:V28"/>
    <mergeCell ref="P29:V29"/>
    <mergeCell ref="P30:V30"/>
    <mergeCell ref="P31:V31"/>
    <mergeCell ref="P32:V32"/>
    <mergeCell ref="L11:V11"/>
    <mergeCell ref="M14:N14"/>
    <mergeCell ref="O14:P14"/>
    <mergeCell ref="Q14:R14"/>
    <mergeCell ref="U14:V14"/>
    <mergeCell ref="U16:V16"/>
    <mergeCell ref="L17:V17"/>
    <mergeCell ref="K19:L19"/>
    <mergeCell ref="A20:B20"/>
    <mergeCell ref="K20:L20"/>
    <mergeCell ref="M20:N20"/>
    <mergeCell ref="T20:U20"/>
    <mergeCell ref="K12:L12"/>
    <mergeCell ref="M12:N12"/>
    <mergeCell ref="O12:P12"/>
    <mergeCell ref="Q12:R12"/>
    <mergeCell ref="U12:V12"/>
    <mergeCell ref="L13:V13"/>
    <mergeCell ref="L15:V15"/>
    <mergeCell ref="K14:L14"/>
    <mergeCell ref="K16:L16"/>
    <mergeCell ref="M16:N16"/>
    <mergeCell ref="O16:P16"/>
    <mergeCell ref="Q16:R16"/>
    <mergeCell ref="F6:G6"/>
    <mergeCell ref="M9:N9"/>
    <mergeCell ref="O9:P9"/>
    <mergeCell ref="Q9:R9"/>
    <mergeCell ref="U9:V9"/>
    <mergeCell ref="K9:L9"/>
    <mergeCell ref="K10:L10"/>
    <mergeCell ref="M10:N10"/>
    <mergeCell ref="O10:P10"/>
    <mergeCell ref="Q10:R10"/>
    <mergeCell ref="U10:V10"/>
    <mergeCell ref="B1:C1"/>
    <mergeCell ref="H1:I1"/>
    <mergeCell ref="K1:L1"/>
    <mergeCell ref="M1:V1"/>
    <mergeCell ref="K2:L2"/>
    <mergeCell ref="K3:L3"/>
    <mergeCell ref="M3:N3"/>
    <mergeCell ref="E1:F1"/>
    <mergeCell ref="F5:G5"/>
    <mergeCell ref="A71:B71"/>
    <mergeCell ref="C72:I72"/>
    <mergeCell ref="A82:I82"/>
    <mergeCell ref="A83:I83"/>
    <mergeCell ref="A84:I84"/>
    <mergeCell ref="A85:I85"/>
    <mergeCell ref="A86:I86"/>
    <mergeCell ref="A87:I87"/>
    <mergeCell ref="A88:I88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80:I80"/>
    <mergeCell ref="A81:I81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72:B72"/>
    <mergeCell ref="A73:B73"/>
    <mergeCell ref="A74:B74"/>
    <mergeCell ref="A75:B75"/>
    <mergeCell ref="A76:B76"/>
    <mergeCell ref="A77:B77"/>
    <mergeCell ref="A79:B79"/>
    <mergeCell ref="C73:I73"/>
    <mergeCell ref="C74:I74"/>
    <mergeCell ref="C75:I75"/>
    <mergeCell ref="C76:I76"/>
    <mergeCell ref="C77:I77"/>
  </mergeCells>
  <conditionalFormatting sqref="E33:E67">
    <cfRule type="cellIs" dxfId="1" priority="1" operator="equal">
      <formula>"Y"</formula>
    </cfRule>
  </conditionalFormatting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10"/>
  <sheetViews>
    <sheetView workbookViewId="0"/>
  </sheetViews>
  <sheetFormatPr defaultColWidth="14.453125" defaultRowHeight="15" customHeight="1" x14ac:dyDescent="0.35"/>
  <cols>
    <col min="1" max="1" width="13.26953125" customWidth="1"/>
    <col min="2" max="10" width="8.7265625" customWidth="1"/>
    <col min="11" max="11" width="16.54296875" customWidth="1"/>
    <col min="12" max="12" width="15.54296875" customWidth="1"/>
    <col min="13" max="23" width="8.7265625" customWidth="1"/>
  </cols>
  <sheetData>
    <row r="1" spans="1:23" ht="14.25" customHeight="1" x14ac:dyDescent="0.5">
      <c r="A1" s="7" t="s">
        <v>15</v>
      </c>
      <c r="B1" s="48" t="s">
        <v>127</v>
      </c>
      <c r="C1" s="49"/>
      <c r="D1" s="7" t="s">
        <v>16</v>
      </c>
      <c r="E1" s="48" t="s">
        <v>128</v>
      </c>
      <c r="F1" s="49"/>
      <c r="G1" s="7" t="s">
        <v>17</v>
      </c>
      <c r="H1" s="48" t="s">
        <v>129</v>
      </c>
      <c r="I1" s="49"/>
      <c r="J1" s="8"/>
      <c r="K1" s="52" t="s">
        <v>18</v>
      </c>
      <c r="L1" s="41"/>
      <c r="M1" s="48" t="s">
        <v>130</v>
      </c>
      <c r="N1" s="50"/>
      <c r="O1" s="50"/>
      <c r="P1" s="50"/>
      <c r="Q1" s="50"/>
      <c r="R1" s="50"/>
      <c r="S1" s="50"/>
      <c r="T1" s="50"/>
      <c r="U1" s="50"/>
      <c r="V1" s="49"/>
      <c r="W1" s="8"/>
    </row>
    <row r="2" spans="1:23" ht="14.25" customHeight="1" x14ac:dyDescent="0.5">
      <c r="A2" s="7" t="s">
        <v>19</v>
      </c>
      <c r="B2" s="9">
        <v>2</v>
      </c>
      <c r="C2" s="8"/>
      <c r="D2" s="7" t="s">
        <v>20</v>
      </c>
      <c r="E2" s="10" t="s">
        <v>131</v>
      </c>
      <c r="F2" s="8"/>
      <c r="G2" s="8"/>
      <c r="H2" s="8"/>
      <c r="I2" s="8"/>
      <c r="J2" s="8"/>
      <c r="K2" s="51"/>
      <c r="L2" s="41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ht="14.25" customHeight="1" x14ac:dyDescent="0.5">
      <c r="A3" s="8"/>
      <c r="B3" s="8"/>
      <c r="C3" s="8"/>
      <c r="D3" s="8"/>
      <c r="E3" s="8"/>
      <c r="F3" s="8"/>
      <c r="G3" s="8"/>
      <c r="H3" s="8"/>
      <c r="I3" s="8"/>
      <c r="J3" s="8"/>
      <c r="K3" s="47" t="s">
        <v>21</v>
      </c>
      <c r="L3" s="41"/>
      <c r="M3" s="55">
        <v>3500</v>
      </c>
      <c r="N3" s="49"/>
      <c r="O3" s="8"/>
      <c r="P3" s="8"/>
      <c r="Q3" s="8"/>
      <c r="R3" s="8"/>
      <c r="S3" s="8"/>
      <c r="T3" s="8"/>
      <c r="U3" s="8"/>
      <c r="V3" s="8"/>
      <c r="W3" s="8"/>
    </row>
    <row r="4" spans="1:23" ht="14.25" customHeight="1" x14ac:dyDescent="0.5">
      <c r="A4" s="7"/>
      <c r="B4" s="8"/>
      <c r="C4" s="8"/>
      <c r="D4" s="12" t="s">
        <v>17</v>
      </c>
      <c r="E4" s="12" t="s">
        <v>22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4.25" customHeight="1" x14ac:dyDescent="0.5">
      <c r="A5" s="7" t="s">
        <v>23</v>
      </c>
      <c r="B5" s="13">
        <f t="shared" ref="B5:B6" si="0">D5+E5</f>
        <v>9</v>
      </c>
      <c r="C5" s="14" t="s">
        <v>24</v>
      </c>
      <c r="D5" s="10">
        <v>8</v>
      </c>
      <c r="E5" s="13">
        <f>C26</f>
        <v>1</v>
      </c>
      <c r="F5" s="47" t="s">
        <v>25</v>
      </c>
      <c r="G5" s="41"/>
      <c r="H5" s="15">
        <v>1</v>
      </c>
      <c r="I5" s="8"/>
      <c r="J5" s="8"/>
      <c r="K5" s="11"/>
      <c r="L5" s="12" t="s">
        <v>26</v>
      </c>
      <c r="M5" s="16"/>
      <c r="N5" s="12" t="s">
        <v>27</v>
      </c>
      <c r="O5" s="12" t="s">
        <v>22</v>
      </c>
      <c r="P5" s="12" t="s">
        <v>28</v>
      </c>
      <c r="Q5" s="8"/>
      <c r="R5" s="8"/>
      <c r="S5" s="8"/>
      <c r="T5" s="8"/>
      <c r="U5" s="8"/>
      <c r="V5" s="8"/>
      <c r="W5" s="8"/>
    </row>
    <row r="6" spans="1:23" ht="14.25" customHeight="1" x14ac:dyDescent="0.5">
      <c r="A6" s="7" t="s">
        <v>29</v>
      </c>
      <c r="B6" s="13">
        <f t="shared" si="0"/>
        <v>7</v>
      </c>
      <c r="C6" s="14" t="s">
        <v>24</v>
      </c>
      <c r="D6" s="10">
        <v>6</v>
      </c>
      <c r="E6" s="13">
        <f>C25</f>
        <v>1</v>
      </c>
      <c r="F6" s="47" t="s">
        <v>30</v>
      </c>
      <c r="G6" s="41"/>
      <c r="H6" s="15">
        <v>1</v>
      </c>
      <c r="I6" s="8"/>
      <c r="J6" s="8"/>
      <c r="K6" s="11" t="s">
        <v>31</v>
      </c>
      <c r="L6" s="17">
        <f t="shared" ref="L6:L7" si="1">N6+O6+P6</f>
        <v>4</v>
      </c>
      <c r="M6" s="14" t="s">
        <v>24</v>
      </c>
      <c r="N6" s="17">
        <f>H5</f>
        <v>1</v>
      </c>
      <c r="O6" s="17">
        <f t="shared" ref="O6:O7" si="2">C23</f>
        <v>3</v>
      </c>
      <c r="P6" s="15">
        <v>0</v>
      </c>
      <c r="Q6" s="8"/>
      <c r="R6" s="8"/>
      <c r="S6" s="8"/>
      <c r="T6" s="8"/>
      <c r="U6" s="8"/>
      <c r="V6" s="8"/>
      <c r="W6" s="8"/>
    </row>
    <row r="7" spans="1:23" ht="14.25" customHeight="1" x14ac:dyDescent="0.5">
      <c r="A7" s="7"/>
      <c r="B7" s="8"/>
      <c r="C7" s="8"/>
      <c r="D7" s="12"/>
      <c r="E7" s="12"/>
      <c r="F7" s="8"/>
      <c r="G7" s="8"/>
      <c r="H7" s="8"/>
      <c r="I7" s="8"/>
      <c r="J7" s="8"/>
      <c r="K7" s="7" t="s">
        <v>32</v>
      </c>
      <c r="L7" s="17">
        <f t="shared" si="1"/>
        <v>4</v>
      </c>
      <c r="M7" s="14" t="s">
        <v>24</v>
      </c>
      <c r="N7" s="17">
        <f>H5</f>
        <v>1</v>
      </c>
      <c r="O7" s="17">
        <f t="shared" si="2"/>
        <v>3</v>
      </c>
      <c r="P7" s="15">
        <v>0</v>
      </c>
      <c r="Q7" s="8"/>
      <c r="R7" s="8"/>
      <c r="S7" s="8"/>
      <c r="T7" s="8"/>
      <c r="U7" s="8"/>
      <c r="V7" s="8"/>
      <c r="W7" s="8"/>
    </row>
    <row r="8" spans="1:23" ht="14.25" customHeight="1" x14ac:dyDescent="0.5">
      <c r="A8" s="7" t="s">
        <v>33</v>
      </c>
      <c r="B8" s="18">
        <f>(D6+C25)*B2</f>
        <v>14</v>
      </c>
      <c r="C8" s="8"/>
      <c r="D8" s="12" t="s">
        <v>34</v>
      </c>
      <c r="E8" s="12" t="s">
        <v>35</v>
      </c>
      <c r="F8" s="12" t="s">
        <v>36</v>
      </c>
      <c r="G8" s="12" t="s">
        <v>37</v>
      </c>
      <c r="H8" s="12" t="s">
        <v>28</v>
      </c>
      <c r="I8" s="8"/>
      <c r="J8" s="8"/>
      <c r="K8" s="7"/>
      <c r="L8" s="7"/>
      <c r="M8" s="8"/>
      <c r="N8" s="12"/>
      <c r="O8" s="12"/>
      <c r="P8" s="12"/>
      <c r="Q8" s="8"/>
      <c r="R8" s="8"/>
      <c r="S8" s="8"/>
      <c r="T8" s="8"/>
      <c r="U8" s="8"/>
      <c r="V8" s="8"/>
      <c r="W8" s="8"/>
    </row>
    <row r="9" spans="1:23" ht="14.25" customHeight="1" x14ac:dyDescent="0.5">
      <c r="A9" s="7" t="s">
        <v>38</v>
      </c>
      <c r="B9" s="18">
        <f t="shared" ref="B9:B11" si="3">SUM(D9:H9)</f>
        <v>17</v>
      </c>
      <c r="C9" s="14" t="s">
        <v>24</v>
      </c>
      <c r="D9" s="16">
        <v>10</v>
      </c>
      <c r="E9" s="13">
        <f>O20</f>
        <v>2</v>
      </c>
      <c r="F9" s="13">
        <f>C24</f>
        <v>3</v>
      </c>
      <c r="G9" s="13">
        <f>H6</f>
        <v>1</v>
      </c>
      <c r="H9" s="15">
        <v>1</v>
      </c>
      <c r="I9" s="8"/>
      <c r="J9" s="8"/>
      <c r="K9" s="47" t="s">
        <v>39</v>
      </c>
      <c r="L9" s="41"/>
      <c r="M9" s="56" t="s">
        <v>40</v>
      </c>
      <c r="N9" s="41"/>
      <c r="O9" s="56" t="s">
        <v>41</v>
      </c>
      <c r="P9" s="41"/>
      <c r="Q9" s="56" t="s">
        <v>42</v>
      </c>
      <c r="R9" s="41"/>
      <c r="S9" s="12" t="s">
        <v>43</v>
      </c>
      <c r="T9" s="12" t="s">
        <v>44</v>
      </c>
      <c r="U9" s="56" t="s">
        <v>45</v>
      </c>
      <c r="V9" s="41"/>
      <c r="W9" s="8"/>
    </row>
    <row r="10" spans="1:23" ht="14.25" customHeight="1" x14ac:dyDescent="0.5">
      <c r="A10" s="7" t="s">
        <v>46</v>
      </c>
      <c r="B10" s="18">
        <f t="shared" si="3"/>
        <v>3</v>
      </c>
      <c r="C10" s="14" t="s">
        <v>24</v>
      </c>
      <c r="D10" s="16">
        <v>0</v>
      </c>
      <c r="E10" s="13">
        <f>P20</f>
        <v>3</v>
      </c>
      <c r="F10" s="16" t="s">
        <v>47</v>
      </c>
      <c r="G10" s="13" t="s">
        <v>47</v>
      </c>
      <c r="H10" s="15">
        <v>0</v>
      </c>
      <c r="I10" s="8"/>
      <c r="J10" s="8"/>
      <c r="K10" s="57" t="s">
        <v>132</v>
      </c>
      <c r="L10" s="58"/>
      <c r="M10" s="59">
        <v>800</v>
      </c>
      <c r="N10" s="58"/>
      <c r="O10" s="60" t="s">
        <v>133</v>
      </c>
      <c r="P10" s="58"/>
      <c r="Q10" s="60" t="s">
        <v>134</v>
      </c>
      <c r="R10" s="58"/>
      <c r="S10" s="19">
        <v>20</v>
      </c>
      <c r="T10" s="20">
        <v>2</v>
      </c>
      <c r="U10" s="60" t="s">
        <v>135</v>
      </c>
      <c r="V10" s="61"/>
      <c r="W10" s="8"/>
    </row>
    <row r="11" spans="1:23" ht="14.25" customHeight="1" x14ac:dyDescent="0.5">
      <c r="A11" s="7" t="s">
        <v>48</v>
      </c>
      <c r="B11" s="18">
        <f t="shared" si="3"/>
        <v>7</v>
      </c>
      <c r="C11" s="14" t="s">
        <v>24</v>
      </c>
      <c r="D11" s="16">
        <v>0</v>
      </c>
      <c r="E11" s="13" t="s">
        <v>47</v>
      </c>
      <c r="F11" s="13">
        <f>C24</f>
        <v>3</v>
      </c>
      <c r="G11" s="13" t="s">
        <v>47</v>
      </c>
      <c r="H11" s="15">
        <v>4</v>
      </c>
      <c r="I11" s="8"/>
      <c r="J11" s="8"/>
      <c r="K11" s="21" t="s">
        <v>49</v>
      </c>
      <c r="L11" s="62"/>
      <c r="M11" s="63"/>
      <c r="N11" s="63"/>
      <c r="O11" s="63"/>
      <c r="P11" s="63"/>
      <c r="Q11" s="63"/>
      <c r="R11" s="63"/>
      <c r="S11" s="63"/>
      <c r="T11" s="63"/>
      <c r="U11" s="63"/>
      <c r="V11" s="64"/>
      <c r="W11" s="8"/>
    </row>
    <row r="12" spans="1:23" ht="14.25" customHeight="1" x14ac:dyDescent="0.5">
      <c r="F12" s="8"/>
      <c r="G12" s="8"/>
      <c r="H12" s="8"/>
      <c r="I12" s="8"/>
      <c r="J12" s="8"/>
      <c r="K12" s="57" t="s">
        <v>136</v>
      </c>
      <c r="L12" s="58"/>
      <c r="M12" s="59">
        <v>850</v>
      </c>
      <c r="N12" s="58"/>
      <c r="O12" s="60" t="s">
        <v>133</v>
      </c>
      <c r="P12" s="58"/>
      <c r="Q12" s="60" t="s">
        <v>134</v>
      </c>
      <c r="R12" s="58"/>
      <c r="S12" s="19" t="s">
        <v>47</v>
      </c>
      <c r="T12" s="20">
        <v>4</v>
      </c>
      <c r="U12" s="60" t="s">
        <v>137</v>
      </c>
      <c r="V12" s="61"/>
      <c r="W12" s="8"/>
    </row>
    <row r="13" spans="1:23" ht="14.25" customHeight="1" x14ac:dyDescent="0.5">
      <c r="A13" s="8"/>
      <c r="B13" s="12" t="s">
        <v>26</v>
      </c>
      <c r="C13" s="22"/>
      <c r="D13" s="12" t="s">
        <v>17</v>
      </c>
      <c r="E13" s="12" t="s">
        <v>50</v>
      </c>
      <c r="F13" s="12" t="s">
        <v>28</v>
      </c>
      <c r="G13" s="8"/>
      <c r="H13" s="8"/>
      <c r="I13" s="8"/>
      <c r="J13" s="8"/>
      <c r="K13" s="21" t="s">
        <v>49</v>
      </c>
      <c r="L13" s="62"/>
      <c r="M13" s="63"/>
      <c r="N13" s="63"/>
      <c r="O13" s="63"/>
      <c r="P13" s="63"/>
      <c r="Q13" s="63"/>
      <c r="R13" s="63"/>
      <c r="S13" s="63"/>
      <c r="T13" s="63"/>
      <c r="U13" s="63"/>
      <c r="V13" s="64"/>
      <c r="W13" s="8"/>
    </row>
    <row r="14" spans="1:23" ht="14.25" customHeight="1" x14ac:dyDescent="0.5">
      <c r="A14" s="7" t="s">
        <v>51</v>
      </c>
      <c r="B14" s="26">
        <f t="shared" ref="B14:B16" si="4">D14+E14+F14</f>
        <v>1</v>
      </c>
      <c r="C14" s="14" t="s">
        <v>24</v>
      </c>
      <c r="D14" s="15">
        <v>0</v>
      </c>
      <c r="E14" s="13">
        <f>C25</f>
        <v>1</v>
      </c>
      <c r="F14" s="15">
        <v>0</v>
      </c>
      <c r="G14" s="8"/>
      <c r="H14" s="8">
        <v>25</v>
      </c>
      <c r="I14" s="8" t="s">
        <v>138</v>
      </c>
      <c r="J14" s="8"/>
      <c r="K14" s="57"/>
      <c r="L14" s="58"/>
      <c r="M14" s="59"/>
      <c r="N14" s="58"/>
      <c r="O14" s="60"/>
      <c r="P14" s="58"/>
      <c r="Q14" s="60"/>
      <c r="R14" s="58"/>
      <c r="S14" s="19"/>
      <c r="T14" s="20"/>
      <c r="U14" s="60"/>
      <c r="V14" s="61"/>
      <c r="W14" s="8"/>
    </row>
    <row r="15" spans="1:23" ht="14.25" customHeight="1" x14ac:dyDescent="0.5">
      <c r="A15" s="7" t="s">
        <v>52</v>
      </c>
      <c r="B15" s="26">
        <f t="shared" si="4"/>
        <v>6</v>
      </c>
      <c r="C15" s="14" t="s">
        <v>24</v>
      </c>
      <c r="D15" s="15">
        <v>3</v>
      </c>
      <c r="E15" s="13">
        <f>C24</f>
        <v>3</v>
      </c>
      <c r="F15" s="15">
        <v>0</v>
      </c>
      <c r="G15" s="8"/>
      <c r="H15" s="8"/>
      <c r="I15" s="8"/>
      <c r="J15" s="8"/>
      <c r="K15" s="21" t="s">
        <v>49</v>
      </c>
      <c r="L15" s="62"/>
      <c r="M15" s="63"/>
      <c r="N15" s="63"/>
      <c r="O15" s="63"/>
      <c r="P15" s="63"/>
      <c r="Q15" s="63"/>
      <c r="R15" s="63"/>
      <c r="S15" s="63"/>
      <c r="T15" s="63"/>
      <c r="U15" s="63"/>
      <c r="V15" s="64"/>
      <c r="W15" s="8"/>
    </row>
    <row r="16" spans="1:23" ht="14.25" customHeight="1" x14ac:dyDescent="0.5">
      <c r="A16" s="7" t="s">
        <v>53</v>
      </c>
      <c r="B16" s="26">
        <f t="shared" si="4"/>
        <v>1</v>
      </c>
      <c r="C16" s="14" t="s">
        <v>24</v>
      </c>
      <c r="D16" s="15">
        <v>0</v>
      </c>
      <c r="E16" s="13">
        <f>C27</f>
        <v>1</v>
      </c>
      <c r="F16" s="15">
        <v>0</v>
      </c>
      <c r="G16" s="8"/>
      <c r="H16" s="8"/>
      <c r="I16" s="8"/>
      <c r="J16" s="8"/>
      <c r="K16" s="57"/>
      <c r="L16" s="58"/>
      <c r="M16" s="59"/>
      <c r="N16" s="58"/>
      <c r="O16" s="60"/>
      <c r="P16" s="58"/>
      <c r="Q16" s="60"/>
      <c r="R16" s="58"/>
      <c r="S16" s="19"/>
      <c r="T16" s="20"/>
      <c r="U16" s="60"/>
      <c r="V16" s="61"/>
      <c r="W16" s="8"/>
    </row>
    <row r="17" spans="1:23" ht="14.25" customHeight="1" x14ac:dyDescent="0.5">
      <c r="A17" s="8"/>
      <c r="B17" s="8"/>
      <c r="C17" s="8"/>
      <c r="D17" s="8"/>
      <c r="E17" s="8"/>
      <c r="F17" s="8"/>
      <c r="G17" s="8"/>
      <c r="H17" s="8"/>
      <c r="I17" s="8"/>
      <c r="J17" s="8"/>
      <c r="K17" s="21" t="s">
        <v>49</v>
      </c>
      <c r="L17" s="62"/>
      <c r="M17" s="63"/>
      <c r="N17" s="63"/>
      <c r="O17" s="63"/>
      <c r="P17" s="63"/>
      <c r="Q17" s="63"/>
      <c r="R17" s="63"/>
      <c r="S17" s="63"/>
      <c r="T17" s="63"/>
      <c r="U17" s="63"/>
      <c r="V17" s="64"/>
      <c r="W17" s="8"/>
    </row>
    <row r="18" spans="1:23" ht="14.25" customHeight="1" x14ac:dyDescent="0.5">
      <c r="A18" s="27" t="s">
        <v>54</v>
      </c>
      <c r="B18" s="28">
        <f>D18+E18</f>
        <v>16</v>
      </c>
      <c r="C18" s="14" t="s">
        <v>24</v>
      </c>
      <c r="D18" s="16">
        <v>10</v>
      </c>
      <c r="E18" s="13">
        <f>C35</f>
        <v>6</v>
      </c>
      <c r="J18" s="8"/>
      <c r="W18" s="8"/>
    </row>
    <row r="19" spans="1:23" ht="14.25" customHeight="1" x14ac:dyDescent="0.5">
      <c r="J19" s="8"/>
      <c r="K19" s="52" t="s">
        <v>35</v>
      </c>
      <c r="L19" s="41"/>
      <c r="M19" s="56" t="s">
        <v>40</v>
      </c>
      <c r="N19" s="41"/>
      <c r="O19" s="12" t="s">
        <v>55</v>
      </c>
      <c r="P19" s="12" t="s">
        <v>46</v>
      </c>
      <c r="Q19" s="12" t="s">
        <v>56</v>
      </c>
      <c r="R19" s="12" t="s">
        <v>57</v>
      </c>
      <c r="S19" s="12" t="s">
        <v>44</v>
      </c>
      <c r="T19" s="56" t="s">
        <v>45</v>
      </c>
      <c r="U19" s="41"/>
      <c r="V19" s="8"/>
      <c r="W19" s="8"/>
    </row>
    <row r="20" spans="1:23" ht="14.25" customHeight="1" x14ac:dyDescent="0.5">
      <c r="A20" s="54" t="s">
        <v>58</v>
      </c>
      <c r="B20" s="41"/>
      <c r="C20" s="8" t="s">
        <v>59</v>
      </c>
      <c r="D20" s="8"/>
      <c r="E20" s="10">
        <v>30</v>
      </c>
      <c r="F20" s="8"/>
      <c r="G20" s="8" t="s">
        <v>60</v>
      </c>
      <c r="H20" s="29">
        <f>E20  - SUM(F23:F28)</f>
        <v>0</v>
      </c>
      <c r="I20" s="8"/>
      <c r="J20" s="8"/>
      <c r="K20" s="65" t="s">
        <v>139</v>
      </c>
      <c r="L20" s="49"/>
      <c r="M20" s="66">
        <v>400</v>
      </c>
      <c r="N20" s="49"/>
      <c r="O20" s="15">
        <v>2</v>
      </c>
      <c r="P20" s="15">
        <v>3</v>
      </c>
      <c r="Q20" s="15">
        <v>4</v>
      </c>
      <c r="R20" s="15">
        <v>0</v>
      </c>
      <c r="S20" s="30"/>
      <c r="T20" s="67" t="s">
        <v>140</v>
      </c>
      <c r="U20" s="49"/>
      <c r="V20" s="8"/>
      <c r="W20" s="8"/>
    </row>
    <row r="21" spans="1:23" ht="14.25" customHeight="1" x14ac:dyDescent="0.5">
      <c r="A21" s="8"/>
      <c r="B21" s="8"/>
      <c r="C21" s="8"/>
      <c r="D21" s="8"/>
      <c r="E21" s="8"/>
      <c r="F21" s="8"/>
      <c r="G21" s="8"/>
      <c r="H21" s="8"/>
      <c r="I21" s="8"/>
      <c r="J21" s="8"/>
      <c r="W21" s="8"/>
    </row>
    <row r="22" spans="1:23" ht="14.25" customHeight="1" x14ac:dyDescent="0.5">
      <c r="A22" s="8"/>
      <c r="B22" s="12" t="s">
        <v>26</v>
      </c>
      <c r="C22" s="12" t="s">
        <v>61</v>
      </c>
      <c r="D22" s="31"/>
      <c r="E22" s="12" t="s">
        <v>34</v>
      </c>
      <c r="F22" s="12" t="s">
        <v>40</v>
      </c>
      <c r="G22" s="12" t="s">
        <v>62</v>
      </c>
      <c r="H22" s="12" t="s">
        <v>28</v>
      </c>
      <c r="I22" s="8"/>
      <c r="J22" s="23"/>
      <c r="K22" s="47" t="s">
        <v>63</v>
      </c>
      <c r="L22" s="41"/>
      <c r="M22" s="69" t="s">
        <v>40</v>
      </c>
      <c r="N22" s="41"/>
      <c r="O22" s="11" t="s">
        <v>64</v>
      </c>
      <c r="P22" s="47" t="s">
        <v>65</v>
      </c>
      <c r="Q22" s="41"/>
      <c r="R22" s="41"/>
      <c r="S22" s="41"/>
      <c r="T22" s="41"/>
      <c r="U22" s="41"/>
      <c r="V22" s="41"/>
      <c r="W22" s="8"/>
    </row>
    <row r="23" spans="1:23" ht="14.25" customHeight="1" x14ac:dyDescent="0.5">
      <c r="A23" s="8" t="s">
        <v>66</v>
      </c>
      <c r="B23" s="26">
        <f t="shared" ref="B23:B28" si="5">E23+G23</f>
        <v>16</v>
      </c>
      <c r="C23" s="26">
        <f t="shared" ref="C23:C28" si="6">_xlfn.FLOOR.MATH((B23-10)/2)</f>
        <v>3</v>
      </c>
      <c r="D23" s="14" t="s">
        <v>24</v>
      </c>
      <c r="E23" s="10">
        <v>16</v>
      </c>
      <c r="F23" s="16">
        <f t="shared" ref="F23:F28" si="7">IF(E23&lt;8, "N/A", IF((E23)&lt;=14,E23-8,IF(E23&lt;=16,((E23-14)*2)+6, IF(E23 &lt;=18, ( (E23-16)*3)+10,"N/A"))))</f>
        <v>10</v>
      </c>
      <c r="G23" s="15"/>
      <c r="H23" s="15">
        <v>0</v>
      </c>
      <c r="I23" s="8"/>
      <c r="J23" s="8"/>
      <c r="K23" s="65" t="s">
        <v>141</v>
      </c>
      <c r="L23" s="49"/>
      <c r="M23" s="66">
        <v>90</v>
      </c>
      <c r="N23" s="49"/>
      <c r="O23" s="10">
        <v>11</v>
      </c>
      <c r="P23" s="72" t="s">
        <v>142</v>
      </c>
      <c r="Q23" s="50"/>
      <c r="R23" s="50"/>
      <c r="S23" s="50"/>
      <c r="T23" s="50"/>
      <c r="U23" s="50"/>
      <c r="V23" s="49"/>
      <c r="W23" s="8"/>
    </row>
    <row r="24" spans="1:23" ht="14.25" customHeight="1" x14ac:dyDescent="0.5">
      <c r="A24" s="8" t="s">
        <v>67</v>
      </c>
      <c r="B24" s="26">
        <f t="shared" si="5"/>
        <v>16</v>
      </c>
      <c r="C24" s="26">
        <f t="shared" si="6"/>
        <v>3</v>
      </c>
      <c r="D24" s="14" t="s">
        <v>24</v>
      </c>
      <c r="E24" s="10">
        <v>14</v>
      </c>
      <c r="F24" s="16">
        <f t="shared" si="7"/>
        <v>6</v>
      </c>
      <c r="G24" s="15">
        <v>2</v>
      </c>
      <c r="H24" s="15">
        <v>0</v>
      </c>
      <c r="I24" s="8"/>
      <c r="J24" s="8"/>
      <c r="K24" s="51"/>
      <c r="L24" s="41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4.25" customHeight="1" x14ac:dyDescent="0.5">
      <c r="A25" s="8" t="s">
        <v>68</v>
      </c>
      <c r="B25" s="26">
        <f t="shared" si="5"/>
        <v>13</v>
      </c>
      <c r="C25" s="26">
        <f t="shared" si="6"/>
        <v>1</v>
      </c>
      <c r="D25" s="14" t="s">
        <v>24</v>
      </c>
      <c r="E25" s="10">
        <v>15</v>
      </c>
      <c r="F25" s="16">
        <f t="shared" si="7"/>
        <v>8</v>
      </c>
      <c r="G25" s="15">
        <v>-2</v>
      </c>
      <c r="H25" s="15">
        <v>0</v>
      </c>
      <c r="I25" s="8"/>
      <c r="J25" s="8"/>
      <c r="K25" s="52" t="s">
        <v>69</v>
      </c>
      <c r="L25" s="41"/>
      <c r="M25" s="70" t="s">
        <v>40</v>
      </c>
      <c r="N25" s="41"/>
      <c r="O25" s="11" t="s">
        <v>44</v>
      </c>
      <c r="P25" s="52" t="s">
        <v>70</v>
      </c>
      <c r="Q25" s="41"/>
      <c r="R25" s="41"/>
      <c r="S25" s="41"/>
      <c r="T25" s="41"/>
      <c r="U25" s="41"/>
      <c r="V25" s="41"/>
      <c r="W25" s="8"/>
    </row>
    <row r="26" spans="1:23" ht="14.25" customHeight="1" x14ac:dyDescent="0.5">
      <c r="A26" s="8" t="s">
        <v>71</v>
      </c>
      <c r="B26" s="26">
        <f t="shared" si="5"/>
        <v>12</v>
      </c>
      <c r="C26" s="26">
        <f t="shared" si="6"/>
        <v>1</v>
      </c>
      <c r="D26" s="14" t="s">
        <v>24</v>
      </c>
      <c r="E26" s="10">
        <v>12</v>
      </c>
      <c r="F26" s="16">
        <f t="shared" si="7"/>
        <v>4</v>
      </c>
      <c r="G26" s="15"/>
      <c r="H26" s="15">
        <v>0</v>
      </c>
      <c r="I26" s="8"/>
      <c r="J26" s="8"/>
      <c r="K26" s="65" t="s">
        <v>143</v>
      </c>
      <c r="L26" s="49"/>
      <c r="M26" s="66">
        <v>150</v>
      </c>
      <c r="N26" s="49"/>
      <c r="O26" s="30"/>
      <c r="P26" s="48" t="s">
        <v>144</v>
      </c>
      <c r="Q26" s="50"/>
      <c r="R26" s="50"/>
      <c r="S26" s="50"/>
      <c r="T26" s="50"/>
      <c r="U26" s="50"/>
      <c r="V26" s="49"/>
      <c r="W26" s="8"/>
    </row>
    <row r="27" spans="1:23" ht="14.25" customHeight="1" x14ac:dyDescent="0.5">
      <c r="A27" s="8" t="s">
        <v>72</v>
      </c>
      <c r="B27" s="26">
        <f t="shared" si="5"/>
        <v>12</v>
      </c>
      <c r="C27" s="26">
        <f t="shared" si="6"/>
        <v>1</v>
      </c>
      <c r="D27" s="14" t="s">
        <v>24</v>
      </c>
      <c r="E27" s="10">
        <v>10</v>
      </c>
      <c r="F27" s="16">
        <f t="shared" si="7"/>
        <v>2</v>
      </c>
      <c r="G27" s="15">
        <v>2</v>
      </c>
      <c r="H27" s="15">
        <v>0</v>
      </c>
      <c r="I27" s="8"/>
      <c r="J27" s="8"/>
      <c r="K27" s="48" t="s">
        <v>145</v>
      </c>
      <c r="L27" s="49"/>
      <c r="M27" s="66">
        <v>300</v>
      </c>
      <c r="N27" s="49"/>
      <c r="O27" s="30"/>
      <c r="P27" s="72" t="s">
        <v>146</v>
      </c>
      <c r="Q27" s="50"/>
      <c r="R27" s="50"/>
      <c r="S27" s="50"/>
      <c r="T27" s="50"/>
      <c r="U27" s="50"/>
      <c r="V27" s="49"/>
      <c r="W27" s="8" t="s">
        <v>147</v>
      </c>
    </row>
    <row r="28" spans="1:23" ht="14.25" customHeight="1" x14ac:dyDescent="0.5">
      <c r="A28" s="8" t="s">
        <v>73</v>
      </c>
      <c r="B28" s="26">
        <f t="shared" si="5"/>
        <v>8</v>
      </c>
      <c r="C28" s="26">
        <f t="shared" si="6"/>
        <v>-1</v>
      </c>
      <c r="D28" s="14" t="s">
        <v>24</v>
      </c>
      <c r="E28" s="10">
        <v>8</v>
      </c>
      <c r="F28" s="16">
        <f t="shared" si="7"/>
        <v>0</v>
      </c>
      <c r="G28" s="15"/>
      <c r="H28" s="15">
        <v>0</v>
      </c>
      <c r="I28" s="8"/>
      <c r="J28" s="8"/>
      <c r="K28" s="65" t="s">
        <v>148</v>
      </c>
      <c r="L28" s="49"/>
      <c r="M28" s="66">
        <v>300</v>
      </c>
      <c r="N28" s="49"/>
      <c r="O28" s="30"/>
      <c r="P28" s="48" t="s">
        <v>149</v>
      </c>
      <c r="Q28" s="50"/>
      <c r="R28" s="50"/>
      <c r="S28" s="50"/>
      <c r="T28" s="50"/>
      <c r="U28" s="50"/>
      <c r="V28" s="49"/>
      <c r="W28" s="8"/>
    </row>
    <row r="29" spans="1:23" ht="14.25" customHeight="1" x14ac:dyDescent="0.5">
      <c r="A29" s="8"/>
      <c r="B29" s="8"/>
      <c r="C29" s="8"/>
      <c r="D29" s="8"/>
      <c r="E29" s="8"/>
      <c r="F29" s="8"/>
      <c r="G29" s="8"/>
      <c r="H29" s="8"/>
      <c r="I29" s="8"/>
      <c r="J29" s="8"/>
      <c r="K29" s="65" t="s">
        <v>150</v>
      </c>
      <c r="L29" s="49"/>
      <c r="M29" s="66">
        <v>300</v>
      </c>
      <c r="N29" s="49"/>
      <c r="O29" s="30"/>
      <c r="P29" s="48"/>
      <c r="Q29" s="50"/>
      <c r="R29" s="50"/>
      <c r="S29" s="50"/>
      <c r="T29" s="50"/>
      <c r="U29" s="50"/>
      <c r="V29" s="49"/>
      <c r="W29" s="8"/>
    </row>
    <row r="30" spans="1:23" ht="14.25" customHeight="1" x14ac:dyDescent="0.5">
      <c r="A30" s="54" t="s">
        <v>74</v>
      </c>
      <c r="B30" s="41"/>
      <c r="C30" s="8"/>
      <c r="D30" s="8"/>
      <c r="E30" s="8" t="s">
        <v>75</v>
      </c>
      <c r="F30" s="16">
        <f>(D5+C26)*B2</f>
        <v>18</v>
      </c>
      <c r="G30" s="8"/>
      <c r="H30" s="8" t="s">
        <v>76</v>
      </c>
      <c r="I30" s="16">
        <f>F30-SUM(F33:F67) - F70</f>
        <v>0</v>
      </c>
      <c r="J30" s="8"/>
      <c r="K30" s="48"/>
      <c r="L30" s="49"/>
      <c r="M30" s="66"/>
      <c r="N30" s="49"/>
      <c r="O30" s="30"/>
      <c r="P30" s="68"/>
      <c r="Q30" s="50"/>
      <c r="R30" s="50"/>
      <c r="S30" s="50"/>
      <c r="T30" s="50"/>
      <c r="U30" s="50"/>
      <c r="V30" s="49"/>
      <c r="W30" s="8"/>
    </row>
    <row r="31" spans="1:23" ht="14.25" customHeight="1" x14ac:dyDescent="0.5">
      <c r="A31" s="51"/>
      <c r="B31" s="41"/>
      <c r="C31" s="8"/>
      <c r="D31" s="8"/>
      <c r="E31" s="8"/>
      <c r="F31" s="8"/>
      <c r="G31" s="8"/>
      <c r="H31" s="8"/>
      <c r="I31" s="16"/>
      <c r="J31" s="8"/>
      <c r="K31" s="65"/>
      <c r="L31" s="49"/>
      <c r="M31" s="66"/>
      <c r="N31" s="49"/>
      <c r="O31" s="30"/>
      <c r="P31" s="48"/>
      <c r="Q31" s="50"/>
      <c r="R31" s="50"/>
      <c r="S31" s="50"/>
      <c r="T31" s="50"/>
      <c r="U31" s="50"/>
      <c r="V31" s="49"/>
      <c r="W31" s="8"/>
    </row>
    <row r="32" spans="1:23" ht="14.25" customHeight="1" x14ac:dyDescent="0.5">
      <c r="A32" s="51"/>
      <c r="B32" s="41"/>
      <c r="C32" s="12" t="s">
        <v>26</v>
      </c>
      <c r="D32" s="22"/>
      <c r="E32" s="12" t="s">
        <v>77</v>
      </c>
      <c r="F32" s="12" t="s">
        <v>78</v>
      </c>
      <c r="G32" s="12" t="s">
        <v>22</v>
      </c>
      <c r="H32" s="12" t="s">
        <v>61</v>
      </c>
      <c r="I32" s="12" t="s">
        <v>28</v>
      </c>
      <c r="J32" s="8"/>
      <c r="K32" s="65"/>
      <c r="L32" s="49"/>
      <c r="M32" s="66"/>
      <c r="N32" s="49"/>
      <c r="O32" s="30"/>
      <c r="P32" s="68"/>
      <c r="Q32" s="50"/>
      <c r="R32" s="50"/>
      <c r="S32" s="50"/>
      <c r="T32" s="50"/>
      <c r="U32" s="50"/>
      <c r="V32" s="49"/>
      <c r="W32" s="8"/>
    </row>
    <row r="33" spans="1:23" ht="14.25" customHeight="1" x14ac:dyDescent="0.5">
      <c r="A33" s="52" t="s">
        <v>79</v>
      </c>
      <c r="B33" s="41"/>
      <c r="C33" s="33">
        <f>IF( AND( (E33 = "Y"), (F33 &gt; 0)), 3, 0) + F33 + H33 + I33 + R20</f>
        <v>8</v>
      </c>
      <c r="D33" s="14" t="s">
        <v>24</v>
      </c>
      <c r="E33" s="34" t="s">
        <v>151</v>
      </c>
      <c r="F33" s="10">
        <v>2</v>
      </c>
      <c r="G33" s="16" t="s">
        <v>81</v>
      </c>
      <c r="H33" s="13">
        <f>C24</f>
        <v>3</v>
      </c>
      <c r="I33" s="15"/>
      <c r="J33" s="8"/>
      <c r="K33" s="65"/>
      <c r="L33" s="49"/>
      <c r="M33" s="66"/>
      <c r="N33" s="49"/>
      <c r="O33" s="30"/>
      <c r="P33" s="48"/>
      <c r="Q33" s="50"/>
      <c r="R33" s="50"/>
      <c r="S33" s="50"/>
      <c r="T33" s="50"/>
      <c r="U33" s="50"/>
      <c r="V33" s="49"/>
      <c r="W33" s="8"/>
    </row>
    <row r="34" spans="1:23" ht="14.25" customHeight="1" x14ac:dyDescent="0.5">
      <c r="A34" s="52" t="s">
        <v>82</v>
      </c>
      <c r="B34" s="41"/>
      <c r="C34" s="33">
        <f t="shared" ref="C34:C36" si="8">IF( AND( (E34 = "Y"), (F34 &gt; 0)), 3, 0) + F34 + H34 + I34</f>
        <v>5</v>
      </c>
      <c r="D34" s="14" t="s">
        <v>24</v>
      </c>
      <c r="E34" s="34" t="s">
        <v>151</v>
      </c>
      <c r="F34" s="10">
        <v>1</v>
      </c>
      <c r="G34" s="16" t="s">
        <v>71</v>
      </c>
      <c r="H34" s="13">
        <f t="shared" ref="H34:H36" si="9">C26</f>
        <v>1</v>
      </c>
      <c r="I34" s="15"/>
      <c r="J34" s="8"/>
      <c r="K34" s="48"/>
      <c r="L34" s="49"/>
      <c r="M34" s="66"/>
      <c r="N34" s="49"/>
      <c r="O34" s="30"/>
      <c r="P34" s="48"/>
      <c r="Q34" s="50"/>
      <c r="R34" s="50"/>
      <c r="S34" s="50"/>
      <c r="T34" s="50"/>
      <c r="U34" s="50"/>
      <c r="V34" s="49"/>
      <c r="W34" s="8"/>
    </row>
    <row r="35" spans="1:23" ht="14.25" customHeight="1" x14ac:dyDescent="0.5">
      <c r="A35" s="52" t="s">
        <v>83</v>
      </c>
      <c r="B35" s="41"/>
      <c r="C35" s="33">
        <f t="shared" si="8"/>
        <v>6</v>
      </c>
      <c r="D35" s="14" t="s">
        <v>24</v>
      </c>
      <c r="E35" s="34" t="s">
        <v>151</v>
      </c>
      <c r="F35" s="10">
        <v>1</v>
      </c>
      <c r="G35" s="16" t="s">
        <v>72</v>
      </c>
      <c r="H35" s="13">
        <f t="shared" si="9"/>
        <v>1</v>
      </c>
      <c r="I35" s="15">
        <v>1</v>
      </c>
      <c r="J35" s="8"/>
      <c r="K35" s="48"/>
      <c r="L35" s="49"/>
      <c r="M35" s="66"/>
      <c r="N35" s="49"/>
      <c r="O35" s="30"/>
      <c r="P35" s="48"/>
      <c r="Q35" s="50"/>
      <c r="R35" s="50"/>
      <c r="S35" s="50"/>
      <c r="T35" s="50"/>
      <c r="U35" s="50"/>
      <c r="V35" s="49"/>
      <c r="W35" s="8"/>
    </row>
    <row r="36" spans="1:23" ht="14.25" customHeight="1" x14ac:dyDescent="0.5">
      <c r="A36" s="52" t="s">
        <v>84</v>
      </c>
      <c r="B36" s="41"/>
      <c r="C36" s="33">
        <f t="shared" si="8"/>
        <v>3</v>
      </c>
      <c r="D36" s="14" t="s">
        <v>24</v>
      </c>
      <c r="E36" s="34" t="s">
        <v>151</v>
      </c>
      <c r="F36" s="10">
        <v>1</v>
      </c>
      <c r="G36" s="16" t="s">
        <v>73</v>
      </c>
      <c r="H36" s="13">
        <f t="shared" si="9"/>
        <v>-1</v>
      </c>
      <c r="I36" s="15"/>
      <c r="J36" s="8"/>
      <c r="K36" s="65"/>
      <c r="L36" s="49"/>
      <c r="M36" s="66"/>
      <c r="N36" s="49"/>
      <c r="O36" s="30"/>
      <c r="P36" s="48"/>
      <c r="Q36" s="50"/>
      <c r="R36" s="50"/>
      <c r="S36" s="50"/>
      <c r="T36" s="50"/>
      <c r="U36" s="50"/>
      <c r="V36" s="49"/>
      <c r="W36" s="8"/>
    </row>
    <row r="37" spans="1:23" ht="14.25" customHeight="1" x14ac:dyDescent="0.5">
      <c r="A37" s="52" t="s">
        <v>85</v>
      </c>
      <c r="B37" s="41"/>
      <c r="C37" s="33">
        <f>IF( AND( (E37 = "Y"), (F37 &gt; 0)), 3, 0) + F37 + H37 + I37 + R20</f>
        <v>7</v>
      </c>
      <c r="D37" s="14" t="s">
        <v>24</v>
      </c>
      <c r="E37" s="34" t="s">
        <v>151</v>
      </c>
      <c r="F37" s="10">
        <v>1</v>
      </c>
      <c r="G37" s="16" t="s">
        <v>86</v>
      </c>
      <c r="H37" s="13">
        <f>C23</f>
        <v>3</v>
      </c>
      <c r="I37" s="15"/>
      <c r="J37" s="8"/>
      <c r="K37" s="48"/>
      <c r="L37" s="49"/>
      <c r="M37" s="66"/>
      <c r="N37" s="49"/>
      <c r="O37" s="30"/>
      <c r="P37" s="48"/>
      <c r="Q37" s="50"/>
      <c r="R37" s="50"/>
      <c r="S37" s="50"/>
      <c r="T37" s="50"/>
      <c r="U37" s="50"/>
      <c r="V37" s="49"/>
      <c r="W37" s="8"/>
    </row>
    <row r="38" spans="1:23" ht="14.25" customHeight="1" x14ac:dyDescent="0.5">
      <c r="A38" s="52" t="s">
        <v>87</v>
      </c>
      <c r="B38" s="41"/>
      <c r="C38" s="33">
        <f>IF( AND( (E38 = "Y"), (F38 &gt; 0)), 3, 0) + F38 + H38 + I38</f>
        <v>5</v>
      </c>
      <c r="D38" s="14" t="s">
        <v>24</v>
      </c>
      <c r="E38" s="34" t="s">
        <v>151</v>
      </c>
      <c r="F38" s="10">
        <v>1</v>
      </c>
      <c r="G38" s="16" t="s">
        <v>71</v>
      </c>
      <c r="H38" s="13">
        <f>C26</f>
        <v>1</v>
      </c>
      <c r="I38" s="15"/>
      <c r="J38" s="8"/>
      <c r="K38" s="48"/>
      <c r="L38" s="49"/>
      <c r="M38" s="66"/>
      <c r="N38" s="49"/>
      <c r="O38" s="30"/>
      <c r="P38" s="48"/>
      <c r="Q38" s="50"/>
      <c r="R38" s="50"/>
      <c r="S38" s="50"/>
      <c r="T38" s="50"/>
      <c r="U38" s="50"/>
      <c r="V38" s="49"/>
      <c r="W38" s="8"/>
    </row>
    <row r="39" spans="1:23" ht="14.25" customHeight="1" x14ac:dyDescent="0.5">
      <c r="A39" s="52" t="s">
        <v>88</v>
      </c>
      <c r="B39" s="41"/>
      <c r="C39" s="33">
        <f t="shared" ref="C39:C43" si="10">IF( AND( (E39 = "Y"), (F39 &gt; 0)), 3, 0) + F39 + I39</f>
        <v>0</v>
      </c>
      <c r="D39" s="14" t="s">
        <v>24</v>
      </c>
      <c r="E39" s="34" t="s">
        <v>151</v>
      </c>
      <c r="F39" s="10"/>
      <c r="G39" s="16" t="s">
        <v>47</v>
      </c>
      <c r="H39" s="16" t="s">
        <v>47</v>
      </c>
      <c r="I39" s="15"/>
      <c r="J39" s="8"/>
      <c r="K39" s="65"/>
      <c r="L39" s="49"/>
      <c r="M39" s="66"/>
      <c r="N39" s="49"/>
      <c r="O39" s="30"/>
      <c r="P39" s="48"/>
      <c r="Q39" s="50"/>
      <c r="R39" s="50"/>
      <c r="S39" s="50"/>
      <c r="T39" s="50"/>
      <c r="U39" s="50"/>
      <c r="V39" s="49"/>
      <c r="W39" s="8"/>
    </row>
    <row r="40" spans="1:23" ht="14.25" customHeight="1" x14ac:dyDescent="0.5">
      <c r="A40" s="48"/>
      <c r="B40" s="49"/>
      <c r="C40" s="33">
        <f t="shared" si="10"/>
        <v>0</v>
      </c>
      <c r="D40" s="14" t="s">
        <v>24</v>
      </c>
      <c r="E40" s="34" t="s">
        <v>151</v>
      </c>
      <c r="F40" s="10"/>
      <c r="G40" s="16" t="s">
        <v>47</v>
      </c>
      <c r="H40" s="16" t="s">
        <v>47</v>
      </c>
      <c r="I40" s="15"/>
      <c r="J40" s="8"/>
      <c r="K40" s="48"/>
      <c r="L40" s="49"/>
      <c r="M40" s="66"/>
      <c r="N40" s="49"/>
      <c r="O40" s="30"/>
      <c r="P40" s="68"/>
      <c r="Q40" s="50"/>
      <c r="R40" s="50"/>
      <c r="S40" s="50"/>
      <c r="T40" s="50"/>
      <c r="U40" s="50"/>
      <c r="V40" s="49"/>
      <c r="W40" s="8"/>
    </row>
    <row r="41" spans="1:23" ht="14.25" customHeight="1" x14ac:dyDescent="0.5">
      <c r="A41" s="48"/>
      <c r="B41" s="49"/>
      <c r="C41" s="33">
        <f t="shared" si="10"/>
        <v>0</v>
      </c>
      <c r="D41" s="14" t="s">
        <v>24</v>
      </c>
      <c r="E41" s="34" t="s">
        <v>151</v>
      </c>
      <c r="F41" s="10"/>
      <c r="G41" s="16" t="s">
        <v>47</v>
      </c>
      <c r="H41" s="16" t="s">
        <v>47</v>
      </c>
      <c r="I41" s="15"/>
      <c r="J41" s="8"/>
      <c r="K41" s="65"/>
      <c r="L41" s="49"/>
      <c r="M41" s="66"/>
      <c r="N41" s="49"/>
      <c r="O41" s="30"/>
      <c r="P41" s="48"/>
      <c r="Q41" s="50"/>
      <c r="R41" s="50"/>
      <c r="S41" s="50"/>
      <c r="T41" s="50"/>
      <c r="U41" s="50"/>
      <c r="V41" s="49"/>
      <c r="W41" s="8"/>
    </row>
    <row r="42" spans="1:23" ht="14.25" customHeight="1" x14ac:dyDescent="0.5">
      <c r="A42" s="48"/>
      <c r="B42" s="49"/>
      <c r="C42" s="33">
        <f t="shared" si="10"/>
        <v>0</v>
      </c>
      <c r="D42" s="14" t="s">
        <v>24</v>
      </c>
      <c r="E42" s="34" t="s">
        <v>151</v>
      </c>
      <c r="F42" s="10"/>
      <c r="G42" s="16" t="s">
        <v>47</v>
      </c>
      <c r="H42" s="16" t="s">
        <v>47</v>
      </c>
      <c r="I42" s="15"/>
      <c r="J42" s="8"/>
      <c r="K42" s="48"/>
      <c r="L42" s="49"/>
      <c r="M42" s="66"/>
      <c r="N42" s="49"/>
      <c r="O42" s="30"/>
      <c r="P42" s="48"/>
      <c r="Q42" s="50"/>
      <c r="R42" s="50"/>
      <c r="S42" s="50"/>
      <c r="T42" s="50"/>
      <c r="U42" s="50"/>
      <c r="V42" s="49"/>
      <c r="W42" s="8"/>
    </row>
    <row r="43" spans="1:23" ht="14.25" customHeight="1" x14ac:dyDescent="0.5">
      <c r="A43" s="48"/>
      <c r="B43" s="49"/>
      <c r="C43" s="33">
        <f t="shared" si="10"/>
        <v>0</v>
      </c>
      <c r="D43" s="14" t="s">
        <v>24</v>
      </c>
      <c r="E43" s="34" t="s">
        <v>151</v>
      </c>
      <c r="F43" s="10"/>
      <c r="G43" s="16" t="s">
        <v>47</v>
      </c>
      <c r="H43" s="16" t="s">
        <v>47</v>
      </c>
      <c r="I43" s="15"/>
      <c r="J43" s="8"/>
      <c r="K43" s="48"/>
      <c r="L43" s="49"/>
      <c r="M43" s="66"/>
      <c r="N43" s="49"/>
      <c r="O43" s="30"/>
      <c r="P43" s="48"/>
      <c r="Q43" s="50"/>
      <c r="R43" s="50"/>
      <c r="S43" s="50"/>
      <c r="T43" s="50"/>
      <c r="U43" s="50"/>
      <c r="V43" s="49"/>
      <c r="W43" s="8"/>
    </row>
    <row r="44" spans="1:23" ht="14.25" customHeight="1" x14ac:dyDescent="0.5">
      <c r="A44" s="52" t="s">
        <v>89</v>
      </c>
      <c r="B44" s="41"/>
      <c r="C44" s="33">
        <f t="shared" ref="C44:C47" si="11">IF( AND( (E44 = "Y"), (F44 &gt; 0)), 3, 0) + F44 + H44 + I44</f>
        <v>1</v>
      </c>
      <c r="D44" s="14" t="s">
        <v>24</v>
      </c>
      <c r="E44" s="34" t="s">
        <v>80</v>
      </c>
      <c r="F44" s="10"/>
      <c r="G44" s="16" t="s">
        <v>71</v>
      </c>
      <c r="H44" s="13">
        <f>C26</f>
        <v>1</v>
      </c>
      <c r="I44" s="15"/>
      <c r="J44" s="8"/>
      <c r="K44" s="65"/>
      <c r="L44" s="49"/>
      <c r="M44" s="66"/>
      <c r="N44" s="49"/>
      <c r="O44" s="30"/>
      <c r="P44" s="48"/>
      <c r="Q44" s="50"/>
      <c r="R44" s="50"/>
      <c r="S44" s="50"/>
      <c r="T44" s="50"/>
      <c r="U44" s="50"/>
      <c r="V44" s="49"/>
      <c r="W44" s="8"/>
    </row>
    <row r="45" spans="1:23" ht="14.25" customHeight="1" x14ac:dyDescent="0.5">
      <c r="A45" s="52" t="s">
        <v>90</v>
      </c>
      <c r="B45" s="41"/>
      <c r="C45" s="33">
        <f t="shared" si="11"/>
        <v>3</v>
      </c>
      <c r="D45" s="14" t="s">
        <v>24</v>
      </c>
      <c r="E45" s="34" t="s">
        <v>151</v>
      </c>
      <c r="F45" s="10">
        <v>1</v>
      </c>
      <c r="G45" s="16" t="s">
        <v>73</v>
      </c>
      <c r="H45" s="13">
        <f>C28</f>
        <v>-1</v>
      </c>
      <c r="I45" s="15"/>
      <c r="J45" s="8"/>
      <c r="K45" s="48"/>
      <c r="L45" s="49"/>
      <c r="M45" s="66"/>
      <c r="N45" s="49"/>
      <c r="O45" s="30"/>
      <c r="P45" s="68"/>
      <c r="Q45" s="50"/>
      <c r="R45" s="50"/>
      <c r="S45" s="50"/>
      <c r="T45" s="50"/>
      <c r="U45" s="50"/>
      <c r="V45" s="49"/>
      <c r="W45" s="8"/>
    </row>
    <row r="46" spans="1:23" ht="14.25" customHeight="1" x14ac:dyDescent="0.5">
      <c r="A46" s="52" t="s">
        <v>91</v>
      </c>
      <c r="B46" s="41"/>
      <c r="C46" s="33">
        <f t="shared" si="11"/>
        <v>5</v>
      </c>
      <c r="D46" s="14" t="s">
        <v>24</v>
      </c>
      <c r="E46" s="34" t="s">
        <v>151</v>
      </c>
      <c r="F46" s="10">
        <v>1</v>
      </c>
      <c r="G46" s="16" t="s">
        <v>71</v>
      </c>
      <c r="H46" s="13">
        <f>C26</f>
        <v>1</v>
      </c>
      <c r="I46" s="15"/>
      <c r="J46" s="8"/>
      <c r="K46" s="52"/>
      <c r="L46" s="41"/>
      <c r="M46" s="35"/>
      <c r="N46" s="8"/>
      <c r="O46" s="51"/>
      <c r="P46" s="41"/>
      <c r="Q46" s="41"/>
      <c r="R46" s="41"/>
      <c r="S46" s="41"/>
      <c r="T46" s="41"/>
      <c r="U46" s="41"/>
      <c r="V46" s="8"/>
      <c r="W46" s="8"/>
    </row>
    <row r="47" spans="1:23" ht="14.25" customHeight="1" x14ac:dyDescent="0.5">
      <c r="A47" s="52" t="s">
        <v>92</v>
      </c>
      <c r="B47" s="41"/>
      <c r="C47" s="33">
        <f t="shared" si="11"/>
        <v>-1</v>
      </c>
      <c r="D47" s="14" t="s">
        <v>24</v>
      </c>
      <c r="E47" s="34" t="s">
        <v>80</v>
      </c>
      <c r="F47" s="10"/>
      <c r="G47" s="16" t="s">
        <v>73</v>
      </c>
      <c r="H47" s="13">
        <f>C28</f>
        <v>-1</v>
      </c>
      <c r="I47" s="15"/>
      <c r="J47" s="8"/>
      <c r="K47" s="47" t="s">
        <v>93</v>
      </c>
      <c r="L47" s="41"/>
      <c r="M47" s="71">
        <f>M20+SUM(M10:N16) + M23+ SUM(M26:N45)</f>
        <v>3190</v>
      </c>
      <c r="N47" s="41"/>
      <c r="O47" s="11">
        <f>S20+SUM(T10:T16)+SUM(O26:O45)</f>
        <v>6</v>
      </c>
      <c r="P47" s="8"/>
      <c r="Q47" s="7" t="s">
        <v>94</v>
      </c>
      <c r="R47" s="8"/>
      <c r="S47" s="8"/>
      <c r="T47" s="8"/>
      <c r="U47" s="8"/>
      <c r="V47" s="8"/>
      <c r="W47" s="8"/>
    </row>
    <row r="48" spans="1:23" ht="14.25" customHeight="1" x14ac:dyDescent="0.5">
      <c r="A48" s="52" t="s">
        <v>95</v>
      </c>
      <c r="B48" s="41"/>
      <c r="C48" s="32"/>
      <c r="D48" s="16"/>
      <c r="E48" s="36"/>
      <c r="F48" s="16"/>
      <c r="G48" s="16"/>
      <c r="H48" s="16"/>
      <c r="I48" s="13"/>
      <c r="J48" s="8"/>
      <c r="K48" s="51"/>
      <c r="L48" s="41"/>
      <c r="M48" s="8"/>
      <c r="N48" s="8"/>
      <c r="O48" s="8"/>
      <c r="P48" s="8"/>
      <c r="Q48" s="51" t="s">
        <v>96</v>
      </c>
      <c r="R48" s="41"/>
      <c r="S48" s="41"/>
      <c r="T48" s="41"/>
      <c r="U48" s="14" t="s">
        <v>24</v>
      </c>
      <c r="V48" s="16" t="s">
        <v>97</v>
      </c>
      <c r="W48" s="8"/>
    </row>
    <row r="49" spans="1:23" ht="14.25" customHeight="1" x14ac:dyDescent="0.5">
      <c r="A49" s="53" t="s">
        <v>98</v>
      </c>
      <c r="B49" s="41"/>
      <c r="C49" s="33">
        <f t="shared" ref="C49:C62" si="12">IF( AND( (E49 = "Y"), (F49 &gt; 0)), 3, 0) + F49 + H49 + I49</f>
        <v>1</v>
      </c>
      <c r="D49" s="14" t="s">
        <v>24</v>
      </c>
      <c r="E49" s="34" t="s">
        <v>80</v>
      </c>
      <c r="F49" s="10"/>
      <c r="G49" s="16" t="s">
        <v>71</v>
      </c>
      <c r="H49" s="13">
        <f>C26</f>
        <v>1</v>
      </c>
      <c r="I49" s="15"/>
      <c r="J49" s="8"/>
      <c r="K49" s="47" t="s">
        <v>99</v>
      </c>
      <c r="L49" s="41"/>
      <c r="M49" s="71">
        <f>M3-M47</f>
        <v>310</v>
      </c>
      <c r="N49" s="41"/>
      <c r="O49" s="8"/>
      <c r="P49" s="8"/>
      <c r="Q49" s="51" t="s">
        <v>100</v>
      </c>
      <c r="R49" s="41"/>
      <c r="S49" s="41"/>
      <c r="T49" s="41"/>
      <c r="U49" s="14" t="s">
        <v>24</v>
      </c>
      <c r="V49" s="16" t="s">
        <v>97</v>
      </c>
      <c r="W49" s="8"/>
    </row>
    <row r="50" spans="1:23" ht="14.25" customHeight="1" x14ac:dyDescent="0.5">
      <c r="A50" s="53" t="s">
        <v>101</v>
      </c>
      <c r="B50" s="41"/>
      <c r="C50" s="33">
        <f t="shared" si="12"/>
        <v>1</v>
      </c>
      <c r="D50" s="14" t="s">
        <v>24</v>
      </c>
      <c r="E50" s="34" t="s">
        <v>80</v>
      </c>
      <c r="F50" s="10"/>
      <c r="G50" s="16" t="s">
        <v>71</v>
      </c>
      <c r="H50" s="13">
        <f>C26</f>
        <v>1</v>
      </c>
      <c r="I50" s="15"/>
      <c r="J50" s="8"/>
      <c r="K50" s="51"/>
      <c r="L50" s="41"/>
      <c r="M50" s="8"/>
      <c r="N50" s="8"/>
      <c r="O50" s="8"/>
      <c r="P50" s="8"/>
      <c r="Q50" s="51" t="s">
        <v>102</v>
      </c>
      <c r="R50" s="41"/>
      <c r="S50" s="41"/>
      <c r="T50" s="41"/>
      <c r="U50" s="14" t="s">
        <v>24</v>
      </c>
      <c r="V50" s="16" t="s">
        <v>97</v>
      </c>
      <c r="W50" s="8"/>
    </row>
    <row r="51" spans="1:23" ht="14.25" customHeight="1" x14ac:dyDescent="0.5">
      <c r="A51" s="53" t="s">
        <v>103</v>
      </c>
      <c r="B51" s="41"/>
      <c r="C51" s="33">
        <f t="shared" si="12"/>
        <v>1</v>
      </c>
      <c r="D51" s="14" t="s">
        <v>24</v>
      </c>
      <c r="E51" s="34" t="s">
        <v>80</v>
      </c>
      <c r="F51" s="10"/>
      <c r="G51" s="16" t="s">
        <v>71</v>
      </c>
      <c r="H51" s="13">
        <f>C26</f>
        <v>1</v>
      </c>
      <c r="I51" s="15"/>
      <c r="J51" s="8"/>
      <c r="K51" s="52" t="s">
        <v>104</v>
      </c>
      <c r="L51" s="4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4.25" customHeight="1" x14ac:dyDescent="0.5">
      <c r="A52" s="53" t="s">
        <v>105</v>
      </c>
      <c r="B52" s="41"/>
      <c r="C52" s="33">
        <f t="shared" si="12"/>
        <v>1</v>
      </c>
      <c r="D52" s="14" t="s">
        <v>24</v>
      </c>
      <c r="E52" s="34" t="s">
        <v>80</v>
      </c>
      <c r="F52" s="10"/>
      <c r="G52" s="16" t="s">
        <v>71</v>
      </c>
      <c r="H52" s="13">
        <f>C26</f>
        <v>1</v>
      </c>
      <c r="I52" s="15"/>
      <c r="J52" s="8"/>
      <c r="K52" s="65" t="s">
        <v>152</v>
      </c>
      <c r="L52" s="49"/>
      <c r="M52" s="72" t="s">
        <v>153</v>
      </c>
      <c r="N52" s="50"/>
      <c r="O52" s="50"/>
      <c r="P52" s="50"/>
      <c r="Q52" s="50"/>
      <c r="R52" s="50"/>
      <c r="S52" s="50"/>
      <c r="T52" s="50"/>
      <c r="U52" s="50"/>
      <c r="V52" s="49"/>
      <c r="W52" s="8"/>
    </row>
    <row r="53" spans="1:23" ht="14.25" customHeight="1" x14ac:dyDescent="0.5">
      <c r="A53" s="53" t="s">
        <v>106</v>
      </c>
      <c r="B53" s="41"/>
      <c r="C53" s="33">
        <f t="shared" si="12"/>
        <v>1</v>
      </c>
      <c r="D53" s="14" t="s">
        <v>24</v>
      </c>
      <c r="E53" s="34" t="s">
        <v>151</v>
      </c>
      <c r="F53" s="10"/>
      <c r="G53" s="16" t="s">
        <v>71</v>
      </c>
      <c r="H53" s="13">
        <f>C26</f>
        <v>1</v>
      </c>
      <c r="I53" s="15"/>
      <c r="J53" s="8"/>
      <c r="K53" s="65" t="s">
        <v>154</v>
      </c>
      <c r="L53" s="49"/>
      <c r="M53" s="72" t="s">
        <v>155</v>
      </c>
      <c r="N53" s="50"/>
      <c r="O53" s="50"/>
      <c r="P53" s="50"/>
      <c r="Q53" s="50"/>
      <c r="R53" s="50"/>
      <c r="S53" s="50"/>
      <c r="T53" s="50"/>
      <c r="U53" s="50"/>
      <c r="V53" s="49"/>
      <c r="W53" s="8"/>
    </row>
    <row r="54" spans="1:23" ht="14.25" customHeight="1" x14ac:dyDescent="0.5">
      <c r="A54" s="53" t="s">
        <v>107</v>
      </c>
      <c r="B54" s="41"/>
      <c r="C54" s="33">
        <f t="shared" si="12"/>
        <v>1</v>
      </c>
      <c r="D54" s="14" t="s">
        <v>24</v>
      </c>
      <c r="E54" s="34" t="s">
        <v>80</v>
      </c>
      <c r="F54" s="10"/>
      <c r="G54" s="16" t="s">
        <v>71</v>
      </c>
      <c r="H54" s="13">
        <f>C26</f>
        <v>1</v>
      </c>
      <c r="I54" s="15"/>
      <c r="J54" s="8"/>
      <c r="K54" s="68"/>
      <c r="L54" s="49"/>
      <c r="M54" s="48"/>
      <c r="N54" s="50"/>
      <c r="O54" s="50"/>
      <c r="P54" s="50"/>
      <c r="Q54" s="50"/>
      <c r="R54" s="50"/>
      <c r="S54" s="50"/>
      <c r="T54" s="50"/>
      <c r="U54" s="50"/>
      <c r="V54" s="49"/>
      <c r="W54" s="8"/>
    </row>
    <row r="55" spans="1:23" ht="14.25" customHeight="1" x14ac:dyDescent="0.5">
      <c r="A55" s="53" t="s">
        <v>108</v>
      </c>
      <c r="B55" s="41"/>
      <c r="C55" s="33">
        <f t="shared" si="12"/>
        <v>1</v>
      </c>
      <c r="D55" s="14" t="s">
        <v>24</v>
      </c>
      <c r="E55" s="34" t="s">
        <v>151</v>
      </c>
      <c r="F55" s="10"/>
      <c r="G55" s="16" t="s">
        <v>71</v>
      </c>
      <c r="H55" s="13">
        <f>C26</f>
        <v>1</v>
      </c>
      <c r="I55" s="15"/>
      <c r="J55" s="8"/>
      <c r="K55" s="68"/>
      <c r="L55" s="49"/>
      <c r="M55" s="48"/>
      <c r="N55" s="50"/>
      <c r="O55" s="50"/>
      <c r="P55" s="50"/>
      <c r="Q55" s="50"/>
      <c r="R55" s="50"/>
      <c r="S55" s="50"/>
      <c r="T55" s="50"/>
      <c r="U55" s="50"/>
      <c r="V55" s="49"/>
      <c r="W55" s="8"/>
    </row>
    <row r="56" spans="1:23" ht="14.25" customHeight="1" x14ac:dyDescent="0.5">
      <c r="A56" s="53" t="s">
        <v>109</v>
      </c>
      <c r="B56" s="41"/>
      <c r="C56" s="33">
        <f t="shared" si="12"/>
        <v>1</v>
      </c>
      <c r="D56" s="14" t="s">
        <v>24</v>
      </c>
      <c r="E56" s="34" t="s">
        <v>80</v>
      </c>
      <c r="F56" s="10"/>
      <c r="G56" s="16" t="s">
        <v>71</v>
      </c>
      <c r="H56" s="13">
        <f>C26</f>
        <v>1</v>
      </c>
      <c r="I56" s="15"/>
      <c r="J56" s="8"/>
      <c r="K56" s="68"/>
      <c r="L56" s="49"/>
      <c r="M56" s="48"/>
      <c r="N56" s="50"/>
      <c r="O56" s="50"/>
      <c r="P56" s="50"/>
      <c r="Q56" s="50"/>
      <c r="R56" s="50"/>
      <c r="S56" s="50"/>
      <c r="T56" s="50"/>
      <c r="U56" s="50"/>
      <c r="V56" s="49"/>
      <c r="W56" s="8"/>
    </row>
    <row r="57" spans="1:23" ht="14.25" customHeight="1" x14ac:dyDescent="0.5">
      <c r="A57" s="52" t="s">
        <v>110</v>
      </c>
      <c r="B57" s="41"/>
      <c r="C57" s="33">
        <f t="shared" si="12"/>
        <v>1</v>
      </c>
      <c r="D57" s="14" t="s">
        <v>24</v>
      </c>
      <c r="E57" s="34" t="s">
        <v>80</v>
      </c>
      <c r="F57" s="10"/>
      <c r="G57" s="16" t="s">
        <v>71</v>
      </c>
      <c r="H57" s="13">
        <f>C26</f>
        <v>1</v>
      </c>
      <c r="I57" s="15"/>
      <c r="J57" s="8"/>
      <c r="K57" s="48"/>
      <c r="L57" s="49"/>
      <c r="M57" s="68"/>
      <c r="N57" s="50"/>
      <c r="O57" s="50"/>
      <c r="P57" s="50"/>
      <c r="Q57" s="50"/>
      <c r="R57" s="50"/>
      <c r="S57" s="50"/>
      <c r="T57" s="50"/>
      <c r="U57" s="50"/>
      <c r="V57" s="49"/>
      <c r="W57" s="8"/>
    </row>
    <row r="58" spans="1:23" ht="14.25" customHeight="1" x14ac:dyDescent="0.5">
      <c r="A58" s="52" t="s">
        <v>111</v>
      </c>
      <c r="B58" s="41"/>
      <c r="C58" s="33">
        <f t="shared" si="12"/>
        <v>3</v>
      </c>
      <c r="D58" s="14" t="s">
        <v>24</v>
      </c>
      <c r="E58" s="34" t="s">
        <v>151</v>
      </c>
      <c r="F58" s="10">
        <v>1</v>
      </c>
      <c r="G58" s="16" t="s">
        <v>73</v>
      </c>
      <c r="H58" s="13">
        <f>C28</f>
        <v>-1</v>
      </c>
      <c r="I58" s="15"/>
      <c r="J58" s="8"/>
      <c r="K58" s="48"/>
      <c r="L58" s="49"/>
      <c r="M58" s="68"/>
      <c r="N58" s="50"/>
      <c r="O58" s="50"/>
      <c r="P58" s="50"/>
      <c r="Q58" s="50"/>
      <c r="R58" s="50"/>
      <c r="S58" s="50"/>
      <c r="T58" s="50"/>
      <c r="U58" s="50"/>
      <c r="V58" s="49"/>
      <c r="W58" s="8"/>
    </row>
    <row r="59" spans="1:23" ht="14.25" customHeight="1" x14ac:dyDescent="0.5">
      <c r="A59" s="52" t="s">
        <v>112</v>
      </c>
      <c r="B59" s="41"/>
      <c r="C59" s="33">
        <f t="shared" si="12"/>
        <v>8</v>
      </c>
      <c r="D59" s="14" t="s">
        <v>24</v>
      </c>
      <c r="E59" s="34" t="s">
        <v>151</v>
      </c>
      <c r="F59" s="10">
        <v>2</v>
      </c>
      <c r="G59" s="16" t="s">
        <v>67</v>
      </c>
      <c r="H59" s="13">
        <f>C24</f>
        <v>3</v>
      </c>
      <c r="I59" s="15"/>
      <c r="J59" s="8"/>
      <c r="K59" s="48"/>
      <c r="L59" s="49"/>
      <c r="M59" s="48"/>
      <c r="N59" s="50"/>
      <c r="O59" s="50"/>
      <c r="P59" s="50"/>
      <c r="Q59" s="50"/>
      <c r="R59" s="50"/>
      <c r="S59" s="50"/>
      <c r="T59" s="50"/>
      <c r="U59" s="50"/>
      <c r="V59" s="49"/>
      <c r="W59" s="8"/>
    </row>
    <row r="60" spans="1:23" ht="14.25" customHeight="1" x14ac:dyDescent="0.5">
      <c r="A60" s="52" t="s">
        <v>113</v>
      </c>
      <c r="B60" s="41"/>
      <c r="C60" s="33">
        <f t="shared" si="12"/>
        <v>1</v>
      </c>
      <c r="D60" s="14" t="s">
        <v>24</v>
      </c>
      <c r="E60" s="34" t="s">
        <v>80</v>
      </c>
      <c r="F60" s="10"/>
      <c r="G60" s="16" t="s">
        <v>71</v>
      </c>
      <c r="H60" s="13">
        <f>C26</f>
        <v>1</v>
      </c>
      <c r="I60" s="15"/>
      <c r="J60" s="8"/>
      <c r="K60" s="48"/>
      <c r="L60" s="49"/>
      <c r="M60" s="48"/>
      <c r="N60" s="50"/>
      <c r="O60" s="50"/>
      <c r="P60" s="50"/>
      <c r="Q60" s="50"/>
      <c r="R60" s="50"/>
      <c r="S60" s="50"/>
      <c r="T60" s="50"/>
      <c r="U60" s="50"/>
      <c r="V60" s="49"/>
      <c r="W60" s="8"/>
    </row>
    <row r="61" spans="1:23" ht="14.25" customHeight="1" x14ac:dyDescent="0.5">
      <c r="A61" s="52" t="s">
        <v>114</v>
      </c>
      <c r="B61" s="41"/>
      <c r="C61" s="33">
        <f t="shared" si="12"/>
        <v>3</v>
      </c>
      <c r="D61" s="14" t="s">
        <v>24</v>
      </c>
      <c r="E61" s="34" t="s">
        <v>80</v>
      </c>
      <c r="F61" s="10"/>
      <c r="G61" s="16" t="s">
        <v>67</v>
      </c>
      <c r="H61" s="13">
        <f>C24</f>
        <v>3</v>
      </c>
      <c r="I61" s="15"/>
      <c r="J61" s="8"/>
      <c r="K61" s="48"/>
      <c r="L61" s="49"/>
      <c r="M61" s="48"/>
      <c r="N61" s="50"/>
      <c r="O61" s="50"/>
      <c r="P61" s="50"/>
      <c r="Q61" s="50"/>
      <c r="R61" s="50"/>
      <c r="S61" s="50"/>
      <c r="T61" s="50"/>
      <c r="U61" s="50"/>
      <c r="V61" s="49"/>
      <c r="W61" s="8"/>
    </row>
    <row r="62" spans="1:23" ht="14.25" customHeight="1" x14ac:dyDescent="0.5">
      <c r="A62" s="52" t="s">
        <v>115</v>
      </c>
      <c r="B62" s="41"/>
      <c r="C62" s="33">
        <f t="shared" si="12"/>
        <v>7</v>
      </c>
      <c r="D62" s="14" t="s">
        <v>24</v>
      </c>
      <c r="E62" s="34" t="s">
        <v>151</v>
      </c>
      <c r="F62" s="10">
        <v>1</v>
      </c>
      <c r="G62" s="16" t="s">
        <v>67</v>
      </c>
      <c r="H62" s="13">
        <f>C24</f>
        <v>3</v>
      </c>
      <c r="I62" s="15"/>
      <c r="J62" s="8"/>
      <c r="K62" s="48"/>
      <c r="L62" s="49"/>
      <c r="M62" s="48"/>
      <c r="N62" s="50"/>
      <c r="O62" s="50"/>
      <c r="P62" s="50"/>
      <c r="Q62" s="50"/>
      <c r="R62" s="50"/>
      <c r="S62" s="50"/>
      <c r="T62" s="50"/>
      <c r="U62" s="50"/>
      <c r="V62" s="49"/>
      <c r="W62" s="8"/>
    </row>
    <row r="63" spans="1:23" ht="14.25" customHeight="1" x14ac:dyDescent="0.5">
      <c r="A63" s="52" t="s">
        <v>116</v>
      </c>
      <c r="B63" s="41"/>
      <c r="C63" s="33">
        <f>IF( AND( (E63 = "Y"), (F63 &gt; 0)), 3, 0) + F63 + H63 + I63 + R20</f>
        <v>8</v>
      </c>
      <c r="D63" s="14" t="s">
        <v>24</v>
      </c>
      <c r="E63" s="34" t="s">
        <v>151</v>
      </c>
      <c r="F63" s="10">
        <v>2</v>
      </c>
      <c r="G63" s="16" t="s">
        <v>81</v>
      </c>
      <c r="H63" s="13">
        <f>C24</f>
        <v>3</v>
      </c>
      <c r="I63" s="15"/>
      <c r="J63" s="8"/>
      <c r="K63" s="48"/>
      <c r="L63" s="49"/>
      <c r="M63" s="48"/>
      <c r="N63" s="50"/>
      <c r="O63" s="50"/>
      <c r="P63" s="50"/>
      <c r="Q63" s="50"/>
      <c r="R63" s="50"/>
      <c r="S63" s="50"/>
      <c r="T63" s="50"/>
      <c r="U63" s="50"/>
      <c r="V63" s="49"/>
      <c r="W63" s="8"/>
    </row>
    <row r="64" spans="1:23" ht="14.25" customHeight="1" x14ac:dyDescent="0.5">
      <c r="A64" s="52" t="s">
        <v>117</v>
      </c>
      <c r="B64" s="41"/>
      <c r="C64" s="33">
        <f>IF( AND( (E64 = "Y"), (F64 &gt; 0)), 3, 0) + F64 + H64 + I64 + R20</f>
        <v>10</v>
      </c>
      <c r="D64" s="14" t="s">
        <v>24</v>
      </c>
      <c r="E64" s="34" t="s">
        <v>151</v>
      </c>
      <c r="F64" s="10">
        <v>2</v>
      </c>
      <c r="G64" s="16" t="s">
        <v>81</v>
      </c>
      <c r="H64" s="13">
        <f>C24</f>
        <v>3</v>
      </c>
      <c r="I64" s="15">
        <v>2</v>
      </c>
      <c r="J64" s="8"/>
      <c r="K64" s="48"/>
      <c r="L64" s="49"/>
      <c r="M64" s="48"/>
      <c r="N64" s="50"/>
      <c r="O64" s="50"/>
      <c r="P64" s="50"/>
      <c r="Q64" s="50"/>
      <c r="R64" s="50"/>
      <c r="S64" s="50"/>
      <c r="T64" s="50"/>
      <c r="U64" s="50"/>
      <c r="V64" s="49"/>
      <c r="W64" s="8"/>
    </row>
    <row r="65" spans="1:23" ht="14.25" customHeight="1" x14ac:dyDescent="0.5">
      <c r="A65" s="52" t="s">
        <v>118</v>
      </c>
      <c r="B65" s="41"/>
      <c r="C65" s="33">
        <f>IF( AND( (E65 = "Y"), (F65 &gt; 0)), 3, 0) + F65 + H65 + I65</f>
        <v>1</v>
      </c>
      <c r="D65" s="14" t="s">
        <v>24</v>
      </c>
      <c r="E65" s="34" t="s">
        <v>80</v>
      </c>
      <c r="F65" s="10"/>
      <c r="G65" s="16" t="s">
        <v>72</v>
      </c>
      <c r="H65" s="13">
        <f>C27</f>
        <v>1</v>
      </c>
      <c r="I65" s="15"/>
      <c r="J65" s="8"/>
      <c r="K65" s="48"/>
      <c r="L65" s="49"/>
      <c r="M65" s="48"/>
      <c r="N65" s="50"/>
      <c r="O65" s="50"/>
      <c r="P65" s="50"/>
      <c r="Q65" s="50"/>
      <c r="R65" s="50"/>
      <c r="S65" s="50"/>
      <c r="T65" s="50"/>
      <c r="U65" s="50"/>
      <c r="V65" s="49"/>
      <c r="W65" s="8"/>
    </row>
    <row r="66" spans="1:23" ht="14.25" customHeight="1" x14ac:dyDescent="0.5">
      <c r="A66" s="52" t="s">
        <v>119</v>
      </c>
      <c r="B66" s="41"/>
      <c r="C66" s="33">
        <f>IF( AND( (E66 = "Y"), (F66 &gt; 0)), 3, 0) + F66 + H66 + I66 + R20 + R20</f>
        <v>7</v>
      </c>
      <c r="D66" s="14" t="s">
        <v>24</v>
      </c>
      <c r="E66" s="34" t="s">
        <v>151</v>
      </c>
      <c r="F66" s="10">
        <v>1</v>
      </c>
      <c r="G66" s="16" t="s">
        <v>120</v>
      </c>
      <c r="H66" s="13">
        <f>C23</f>
        <v>3</v>
      </c>
      <c r="I66" s="15"/>
      <c r="J66" s="8"/>
      <c r="K66" s="48"/>
      <c r="L66" s="49"/>
      <c r="M66" s="48"/>
      <c r="N66" s="50"/>
      <c r="O66" s="50"/>
      <c r="P66" s="50"/>
      <c r="Q66" s="50"/>
      <c r="R66" s="50"/>
      <c r="S66" s="50"/>
      <c r="T66" s="50"/>
      <c r="U66" s="50"/>
      <c r="V66" s="49"/>
      <c r="W66" s="8"/>
    </row>
    <row r="67" spans="1:23" ht="14.25" customHeight="1" x14ac:dyDescent="0.5">
      <c r="A67" s="52" t="s">
        <v>121</v>
      </c>
      <c r="B67" s="41"/>
      <c r="C67" s="33">
        <f>IF( AND( (E67 = "Y"), (F67 &gt; 0)), 3, 0) + F67 + H67 + I67</f>
        <v>1</v>
      </c>
      <c r="D67" s="14" t="s">
        <v>24</v>
      </c>
      <c r="E67" s="34" t="s">
        <v>80</v>
      </c>
      <c r="F67" s="10"/>
      <c r="G67" s="16" t="s">
        <v>72</v>
      </c>
      <c r="H67" s="13">
        <f>C27</f>
        <v>1</v>
      </c>
      <c r="I67" s="15"/>
      <c r="J67" s="8"/>
      <c r="K67" s="48"/>
      <c r="L67" s="49"/>
      <c r="M67" s="48"/>
      <c r="N67" s="50"/>
      <c r="O67" s="50"/>
      <c r="P67" s="50"/>
      <c r="Q67" s="50"/>
      <c r="R67" s="50"/>
      <c r="S67" s="50"/>
      <c r="T67" s="50"/>
      <c r="U67" s="50"/>
      <c r="V67" s="49"/>
      <c r="W67" s="8"/>
    </row>
    <row r="68" spans="1:23" ht="14.25" customHeight="1" x14ac:dyDescent="0.5">
      <c r="A68" s="51"/>
      <c r="B68" s="41"/>
      <c r="C68" s="8"/>
      <c r="D68" s="8"/>
      <c r="E68" s="8"/>
      <c r="F68" s="8"/>
      <c r="G68" s="8"/>
      <c r="H68" s="8"/>
      <c r="I68" s="8"/>
      <c r="J68" s="8"/>
      <c r="K68" s="48"/>
      <c r="L68" s="49"/>
      <c r="M68" s="48"/>
      <c r="N68" s="50"/>
      <c r="O68" s="50"/>
      <c r="P68" s="50"/>
      <c r="Q68" s="50"/>
      <c r="R68" s="50"/>
      <c r="S68" s="50"/>
      <c r="T68" s="50"/>
      <c r="U68" s="50"/>
      <c r="V68" s="49"/>
      <c r="W68" s="8"/>
    </row>
    <row r="69" spans="1:23" ht="14.25" customHeight="1" x14ac:dyDescent="0.5">
      <c r="A69" s="51"/>
      <c r="B69" s="41"/>
      <c r="C69" s="12" t="s">
        <v>26</v>
      </c>
      <c r="D69" s="8"/>
      <c r="E69" s="31"/>
      <c r="F69" s="12" t="s">
        <v>122</v>
      </c>
      <c r="G69" s="8"/>
      <c r="H69" s="8"/>
      <c r="I69" s="12" t="s">
        <v>61</v>
      </c>
      <c r="J69" s="8"/>
      <c r="K69" s="48"/>
      <c r="L69" s="49"/>
      <c r="M69" s="48"/>
      <c r="N69" s="50"/>
      <c r="O69" s="50"/>
      <c r="P69" s="50"/>
      <c r="Q69" s="50"/>
      <c r="R69" s="50"/>
      <c r="S69" s="50"/>
      <c r="T69" s="50"/>
      <c r="U69" s="50"/>
      <c r="V69" s="49"/>
      <c r="W69" s="8"/>
    </row>
    <row r="70" spans="1:23" ht="14.25" customHeight="1" x14ac:dyDescent="0.5">
      <c r="A70" s="54" t="s">
        <v>123</v>
      </c>
      <c r="B70" s="41"/>
      <c r="C70" s="32">
        <f>(F70 / 2) + I70</f>
        <v>0</v>
      </c>
      <c r="D70" s="14" t="s">
        <v>24</v>
      </c>
      <c r="E70" s="16" t="s">
        <v>47</v>
      </c>
      <c r="F70" s="10">
        <v>0</v>
      </c>
      <c r="G70" s="32" t="s">
        <v>47</v>
      </c>
      <c r="H70" s="32" t="s">
        <v>47</v>
      </c>
      <c r="I70" s="10">
        <v>0</v>
      </c>
      <c r="J70" s="8"/>
      <c r="K70" s="48"/>
      <c r="L70" s="49"/>
      <c r="M70" s="48"/>
      <c r="N70" s="50"/>
      <c r="O70" s="50"/>
      <c r="P70" s="50"/>
      <c r="Q70" s="50"/>
      <c r="R70" s="50"/>
      <c r="S70" s="50"/>
      <c r="T70" s="50"/>
      <c r="U70" s="50"/>
      <c r="V70" s="49"/>
      <c r="W70" s="8"/>
    </row>
    <row r="71" spans="1:23" ht="14.25" customHeight="1" x14ac:dyDescent="0.5">
      <c r="A71" s="51"/>
      <c r="B71" s="41"/>
      <c r="C71" s="8"/>
      <c r="D71" s="8"/>
      <c r="E71" s="8"/>
      <c r="F71" s="8"/>
      <c r="G71" s="8"/>
      <c r="H71" s="8"/>
      <c r="I71" s="8"/>
      <c r="J71" s="8"/>
      <c r="K71" s="48"/>
      <c r="L71" s="49"/>
      <c r="M71" s="48"/>
      <c r="N71" s="50"/>
      <c r="O71" s="50"/>
      <c r="P71" s="50"/>
      <c r="Q71" s="50"/>
      <c r="R71" s="50"/>
      <c r="S71" s="50"/>
      <c r="T71" s="50"/>
      <c r="U71" s="50"/>
      <c r="V71" s="49"/>
      <c r="W71" s="8"/>
    </row>
    <row r="72" spans="1:23" ht="14.25" customHeight="1" x14ac:dyDescent="0.5">
      <c r="A72" s="47" t="s">
        <v>124</v>
      </c>
      <c r="B72" s="41"/>
      <c r="C72" s="47" t="s">
        <v>65</v>
      </c>
      <c r="D72" s="41"/>
      <c r="E72" s="41"/>
      <c r="F72" s="41"/>
      <c r="G72" s="41"/>
      <c r="H72" s="41"/>
      <c r="I72" s="41"/>
      <c r="J72" s="8"/>
      <c r="K72" s="51"/>
      <c r="L72" s="41"/>
      <c r="M72" s="51"/>
      <c r="N72" s="41"/>
      <c r="O72" s="41"/>
      <c r="P72" s="41"/>
      <c r="Q72" s="41"/>
      <c r="R72" s="41"/>
      <c r="S72" s="41"/>
      <c r="T72" s="41"/>
      <c r="U72" s="41"/>
      <c r="V72" s="41"/>
      <c r="W72" s="8"/>
    </row>
    <row r="73" spans="1:23" ht="14.25" customHeight="1" x14ac:dyDescent="0.5">
      <c r="A73" s="48"/>
      <c r="B73" s="49"/>
      <c r="C73" s="48"/>
      <c r="D73" s="50"/>
      <c r="E73" s="50"/>
      <c r="F73" s="50"/>
      <c r="G73" s="50"/>
      <c r="H73" s="50"/>
      <c r="I73" s="49"/>
      <c r="J73" s="8"/>
      <c r="K73" s="52" t="s">
        <v>125</v>
      </c>
      <c r="L73" s="41"/>
      <c r="M73" s="51"/>
      <c r="N73" s="41"/>
      <c r="O73" s="41"/>
      <c r="P73" s="41"/>
      <c r="Q73" s="41"/>
      <c r="R73" s="41"/>
      <c r="S73" s="41"/>
      <c r="T73" s="41"/>
      <c r="U73" s="41"/>
      <c r="V73" s="41"/>
      <c r="W73" s="8"/>
    </row>
    <row r="74" spans="1:23" ht="14.25" customHeight="1" x14ac:dyDescent="0.5">
      <c r="A74" s="48"/>
      <c r="B74" s="49"/>
      <c r="C74" s="48"/>
      <c r="D74" s="50"/>
      <c r="E74" s="50"/>
      <c r="F74" s="50"/>
      <c r="G74" s="50"/>
      <c r="H74" s="50"/>
      <c r="I74" s="49"/>
      <c r="J74" s="8"/>
      <c r="K74" s="48" t="s">
        <v>156</v>
      </c>
      <c r="L74" s="49"/>
      <c r="M74" s="72" t="s">
        <v>157</v>
      </c>
      <c r="N74" s="50"/>
      <c r="O74" s="50"/>
      <c r="P74" s="50"/>
      <c r="Q74" s="50"/>
      <c r="R74" s="50"/>
      <c r="S74" s="50"/>
      <c r="T74" s="50"/>
      <c r="U74" s="50"/>
      <c r="V74" s="49"/>
      <c r="W74" s="8"/>
    </row>
    <row r="75" spans="1:23" ht="14.25" customHeight="1" x14ac:dyDescent="0.5">
      <c r="A75" s="48"/>
      <c r="B75" s="49"/>
      <c r="C75" s="48"/>
      <c r="D75" s="50"/>
      <c r="E75" s="50"/>
      <c r="F75" s="50"/>
      <c r="G75" s="50"/>
      <c r="H75" s="50"/>
      <c r="I75" s="49"/>
      <c r="J75" s="8"/>
      <c r="K75" s="48" t="s">
        <v>158</v>
      </c>
      <c r="L75" s="49"/>
      <c r="M75" s="48" t="s">
        <v>159</v>
      </c>
      <c r="N75" s="50"/>
      <c r="O75" s="50"/>
      <c r="P75" s="50"/>
      <c r="Q75" s="50"/>
      <c r="R75" s="50"/>
      <c r="S75" s="50"/>
      <c r="T75" s="50"/>
      <c r="U75" s="50"/>
      <c r="V75" s="49"/>
      <c r="W75" s="8"/>
    </row>
    <row r="76" spans="1:23" ht="14.25" customHeight="1" x14ac:dyDescent="0.5">
      <c r="A76" s="48"/>
      <c r="B76" s="49"/>
      <c r="C76" s="48"/>
      <c r="D76" s="50"/>
      <c r="E76" s="50"/>
      <c r="F76" s="50"/>
      <c r="G76" s="50"/>
      <c r="H76" s="50"/>
      <c r="I76" s="49"/>
      <c r="J76" s="8"/>
      <c r="K76" s="48" t="s">
        <v>160</v>
      </c>
      <c r="L76" s="49"/>
      <c r="M76" s="48" t="s">
        <v>161</v>
      </c>
      <c r="N76" s="50"/>
      <c r="O76" s="50"/>
      <c r="P76" s="50"/>
      <c r="Q76" s="50"/>
      <c r="R76" s="50"/>
      <c r="S76" s="50"/>
      <c r="T76" s="50"/>
      <c r="U76" s="50"/>
      <c r="V76" s="49"/>
      <c r="W76" s="8"/>
    </row>
    <row r="77" spans="1:23" ht="14.25" customHeight="1" x14ac:dyDescent="0.5">
      <c r="A77" s="48"/>
      <c r="B77" s="49"/>
      <c r="C77" s="48"/>
      <c r="D77" s="50"/>
      <c r="E77" s="50"/>
      <c r="F77" s="50"/>
      <c r="G77" s="50"/>
      <c r="H77" s="50"/>
      <c r="I77" s="49"/>
      <c r="J77" s="8"/>
      <c r="K77" s="48"/>
      <c r="L77" s="49"/>
      <c r="M77" s="48"/>
      <c r="N77" s="50"/>
      <c r="O77" s="50"/>
      <c r="P77" s="50"/>
      <c r="Q77" s="50"/>
      <c r="R77" s="50"/>
      <c r="S77" s="50"/>
      <c r="T77" s="50"/>
      <c r="U77" s="50"/>
      <c r="V77" s="49"/>
      <c r="W77" s="8"/>
    </row>
    <row r="78" spans="1:23" ht="14.25" customHeight="1" x14ac:dyDescent="0.5">
      <c r="J78" s="8"/>
      <c r="K78" s="48"/>
      <c r="L78" s="49"/>
      <c r="M78" s="48"/>
      <c r="N78" s="50"/>
      <c r="O78" s="50"/>
      <c r="P78" s="50"/>
      <c r="Q78" s="50"/>
      <c r="R78" s="50"/>
      <c r="S78" s="50"/>
      <c r="T78" s="50"/>
      <c r="U78" s="50"/>
      <c r="V78" s="49"/>
      <c r="W78" s="8"/>
    </row>
    <row r="79" spans="1:23" ht="14.25" customHeight="1" x14ac:dyDescent="0.5">
      <c r="A79" s="47" t="s">
        <v>126</v>
      </c>
      <c r="B79" s="41"/>
      <c r="C79" s="8"/>
      <c r="D79" s="8"/>
      <c r="E79" s="8"/>
      <c r="F79" s="8"/>
      <c r="G79" s="8"/>
      <c r="H79" s="8"/>
      <c r="I79" s="8"/>
      <c r="J79" s="8"/>
      <c r="K79" s="48"/>
      <c r="L79" s="49"/>
      <c r="M79" s="48"/>
      <c r="N79" s="50"/>
      <c r="O79" s="50"/>
      <c r="P79" s="50"/>
      <c r="Q79" s="50"/>
      <c r="R79" s="50"/>
      <c r="S79" s="50"/>
      <c r="T79" s="50"/>
      <c r="U79" s="50"/>
      <c r="V79" s="49"/>
      <c r="W79" s="8"/>
    </row>
    <row r="80" spans="1:23" ht="14.25" customHeight="1" x14ac:dyDescent="0.5">
      <c r="A80" s="48"/>
      <c r="B80" s="50"/>
      <c r="C80" s="50"/>
      <c r="D80" s="50"/>
      <c r="E80" s="50"/>
      <c r="F80" s="50"/>
      <c r="G80" s="50"/>
      <c r="H80" s="50"/>
      <c r="I80" s="49"/>
      <c r="J80" s="8"/>
      <c r="K80" s="48"/>
      <c r="L80" s="49"/>
      <c r="M80" s="48"/>
      <c r="N80" s="50"/>
      <c r="O80" s="50"/>
      <c r="P80" s="50"/>
      <c r="Q80" s="50"/>
      <c r="R80" s="50"/>
      <c r="S80" s="50"/>
      <c r="T80" s="50"/>
      <c r="U80" s="50"/>
      <c r="V80" s="49"/>
      <c r="W80" s="8"/>
    </row>
    <row r="81" spans="1:23" ht="14.25" customHeight="1" x14ac:dyDescent="0.5">
      <c r="A81" s="48"/>
      <c r="B81" s="50"/>
      <c r="C81" s="50"/>
      <c r="D81" s="50"/>
      <c r="E81" s="50"/>
      <c r="F81" s="50"/>
      <c r="G81" s="50"/>
      <c r="H81" s="50"/>
      <c r="I81" s="49"/>
      <c r="J81" s="8"/>
      <c r="K81" s="48"/>
      <c r="L81" s="49"/>
      <c r="M81" s="48"/>
      <c r="N81" s="50"/>
      <c r="O81" s="50"/>
      <c r="P81" s="50"/>
      <c r="Q81" s="50"/>
      <c r="R81" s="50"/>
      <c r="S81" s="50"/>
      <c r="T81" s="50"/>
      <c r="U81" s="50"/>
      <c r="V81" s="49"/>
      <c r="W81" s="8"/>
    </row>
    <row r="82" spans="1:23" ht="14.25" customHeight="1" x14ac:dyDescent="0.5">
      <c r="A82" s="48"/>
      <c r="B82" s="50"/>
      <c r="C82" s="50"/>
      <c r="D82" s="50"/>
      <c r="E82" s="50"/>
      <c r="F82" s="50"/>
      <c r="G82" s="50"/>
      <c r="H82" s="50"/>
      <c r="I82" s="49"/>
      <c r="J82" s="8"/>
      <c r="K82" s="48"/>
      <c r="L82" s="49"/>
      <c r="M82" s="48"/>
      <c r="N82" s="50"/>
      <c r="O82" s="50"/>
      <c r="P82" s="50"/>
      <c r="Q82" s="50"/>
      <c r="R82" s="50"/>
      <c r="S82" s="50"/>
      <c r="T82" s="50"/>
      <c r="U82" s="50"/>
      <c r="V82" s="49"/>
      <c r="W82" s="8"/>
    </row>
    <row r="83" spans="1:23" ht="14.25" customHeight="1" x14ac:dyDescent="0.5">
      <c r="A83" s="48"/>
      <c r="B83" s="50"/>
      <c r="C83" s="50"/>
      <c r="D83" s="50"/>
      <c r="E83" s="50"/>
      <c r="F83" s="50"/>
      <c r="G83" s="50"/>
      <c r="H83" s="50"/>
      <c r="I83" s="49"/>
      <c r="J83" s="8"/>
      <c r="K83" s="48"/>
      <c r="L83" s="49"/>
      <c r="M83" s="48"/>
      <c r="N83" s="50"/>
      <c r="O83" s="50"/>
      <c r="P83" s="50"/>
      <c r="Q83" s="50"/>
      <c r="R83" s="50"/>
      <c r="S83" s="50"/>
      <c r="T83" s="50"/>
      <c r="U83" s="50"/>
      <c r="V83" s="49"/>
      <c r="W83" s="8"/>
    </row>
    <row r="84" spans="1:23" ht="14.25" customHeight="1" x14ac:dyDescent="0.5">
      <c r="A84" s="48"/>
      <c r="B84" s="50"/>
      <c r="C84" s="50"/>
      <c r="D84" s="50"/>
      <c r="E84" s="50"/>
      <c r="F84" s="50"/>
      <c r="G84" s="50"/>
      <c r="H84" s="50"/>
      <c r="I84" s="49"/>
      <c r="J84" s="8"/>
      <c r="K84" s="51"/>
      <c r="L84" s="41"/>
      <c r="M84" s="51"/>
      <c r="N84" s="41"/>
      <c r="O84" s="41"/>
      <c r="P84" s="41"/>
      <c r="Q84" s="41"/>
      <c r="R84" s="41"/>
      <c r="S84" s="41"/>
      <c r="T84" s="41"/>
      <c r="U84" s="41"/>
      <c r="V84" s="41"/>
      <c r="W84" s="8"/>
    </row>
    <row r="85" spans="1:23" ht="14.25" customHeight="1" x14ac:dyDescent="0.5">
      <c r="A85" s="48"/>
      <c r="B85" s="50"/>
      <c r="C85" s="50"/>
      <c r="D85" s="50"/>
      <c r="E85" s="50"/>
      <c r="F85" s="50"/>
      <c r="G85" s="50"/>
      <c r="H85" s="50"/>
      <c r="I85" s="49"/>
      <c r="J85" s="8"/>
      <c r="K85" s="47" t="s">
        <v>126</v>
      </c>
      <c r="L85" s="41"/>
      <c r="M85" s="51"/>
      <c r="N85" s="41"/>
      <c r="O85" s="41"/>
      <c r="P85" s="41"/>
      <c r="Q85" s="41"/>
      <c r="R85" s="41"/>
      <c r="S85" s="41"/>
      <c r="T85" s="41"/>
      <c r="U85" s="41"/>
      <c r="V85" s="41"/>
      <c r="W85" s="8"/>
    </row>
    <row r="86" spans="1:23" ht="14.25" customHeight="1" x14ac:dyDescent="0.5">
      <c r="A86" s="48"/>
      <c r="B86" s="50"/>
      <c r="C86" s="50"/>
      <c r="D86" s="50"/>
      <c r="E86" s="50"/>
      <c r="F86" s="50"/>
      <c r="G86" s="50"/>
      <c r="H86" s="50"/>
      <c r="I86" s="49"/>
      <c r="J86" s="8"/>
      <c r="K86" s="48" t="s">
        <v>162</v>
      </c>
      <c r="L86" s="49"/>
      <c r="M86" s="48"/>
      <c r="N86" s="50"/>
      <c r="O86" s="50"/>
      <c r="P86" s="50"/>
      <c r="Q86" s="50"/>
      <c r="R86" s="50"/>
      <c r="S86" s="50"/>
      <c r="T86" s="50"/>
      <c r="U86" s="50"/>
      <c r="V86" s="49"/>
      <c r="W86" s="8"/>
    </row>
    <row r="87" spans="1:23" ht="14.25" customHeight="1" x14ac:dyDescent="0.5">
      <c r="A87" s="48"/>
      <c r="B87" s="50"/>
      <c r="C87" s="50"/>
      <c r="D87" s="50"/>
      <c r="E87" s="50"/>
      <c r="F87" s="50"/>
      <c r="G87" s="50"/>
      <c r="H87" s="50"/>
      <c r="I87" s="49"/>
      <c r="J87" s="8"/>
      <c r="K87" s="48" t="s">
        <v>163</v>
      </c>
      <c r="L87" s="49"/>
      <c r="M87" s="48"/>
      <c r="N87" s="50"/>
      <c r="O87" s="50"/>
      <c r="P87" s="50"/>
      <c r="Q87" s="50"/>
      <c r="R87" s="50"/>
      <c r="S87" s="50"/>
      <c r="T87" s="50"/>
      <c r="U87" s="50"/>
      <c r="V87" s="49"/>
      <c r="W87" s="8"/>
    </row>
    <row r="88" spans="1:23" ht="14.25" customHeight="1" x14ac:dyDescent="0.5">
      <c r="A88" s="48"/>
      <c r="B88" s="50"/>
      <c r="C88" s="50"/>
      <c r="D88" s="50"/>
      <c r="E88" s="50"/>
      <c r="F88" s="50"/>
      <c r="G88" s="50"/>
      <c r="H88" s="50"/>
      <c r="I88" s="49"/>
      <c r="J88" s="8"/>
      <c r="K88" s="48" t="s">
        <v>164</v>
      </c>
      <c r="L88" s="49"/>
      <c r="M88" s="48"/>
      <c r="N88" s="50"/>
      <c r="O88" s="50"/>
      <c r="P88" s="50"/>
      <c r="Q88" s="50"/>
      <c r="R88" s="50"/>
      <c r="S88" s="50"/>
      <c r="T88" s="50"/>
      <c r="U88" s="50"/>
      <c r="V88" s="49"/>
      <c r="W88" s="8"/>
    </row>
    <row r="89" spans="1:23" ht="14.25" customHeight="1" x14ac:dyDescent="0.5">
      <c r="A89" s="48"/>
      <c r="B89" s="50"/>
      <c r="C89" s="50"/>
      <c r="D89" s="50"/>
      <c r="E89" s="50"/>
      <c r="F89" s="50"/>
      <c r="G89" s="50"/>
      <c r="H89" s="50"/>
      <c r="I89" s="49"/>
      <c r="J89" s="8"/>
      <c r="K89" s="48" t="s">
        <v>165</v>
      </c>
      <c r="L89" s="49"/>
      <c r="M89" s="48"/>
      <c r="N89" s="50"/>
      <c r="O89" s="50"/>
      <c r="P89" s="50"/>
      <c r="Q89" s="50"/>
      <c r="R89" s="50"/>
      <c r="S89" s="50"/>
      <c r="T89" s="50"/>
      <c r="U89" s="50"/>
      <c r="V89" s="49"/>
      <c r="W89" s="8"/>
    </row>
    <row r="90" spans="1:23" ht="14.25" customHeight="1" x14ac:dyDescent="0.5">
      <c r="A90" s="48"/>
      <c r="B90" s="50"/>
      <c r="C90" s="50"/>
      <c r="D90" s="50"/>
      <c r="E90" s="50"/>
      <c r="F90" s="50"/>
      <c r="G90" s="50"/>
      <c r="H90" s="50"/>
      <c r="I90" s="49"/>
      <c r="J90" s="8"/>
      <c r="K90" s="48" t="s">
        <v>166</v>
      </c>
      <c r="L90" s="49"/>
      <c r="M90" s="48"/>
      <c r="N90" s="50"/>
      <c r="O90" s="50"/>
      <c r="P90" s="50"/>
      <c r="Q90" s="50"/>
      <c r="R90" s="50"/>
      <c r="S90" s="50"/>
      <c r="T90" s="50"/>
      <c r="U90" s="50"/>
      <c r="V90" s="49"/>
      <c r="W90" s="8"/>
    </row>
    <row r="91" spans="1:23" ht="14.25" customHeight="1" x14ac:dyDescent="0.5">
      <c r="A91" s="48"/>
      <c r="B91" s="50"/>
      <c r="C91" s="50"/>
      <c r="D91" s="50"/>
      <c r="E91" s="50"/>
      <c r="F91" s="50"/>
      <c r="G91" s="50"/>
      <c r="H91" s="50"/>
      <c r="I91" s="49"/>
      <c r="J91" s="8"/>
      <c r="K91" s="48" t="s">
        <v>167</v>
      </c>
      <c r="L91" s="49"/>
      <c r="M91" s="48"/>
      <c r="N91" s="50"/>
      <c r="O91" s="50"/>
      <c r="P91" s="50"/>
      <c r="Q91" s="50"/>
      <c r="R91" s="50"/>
      <c r="S91" s="50"/>
      <c r="T91" s="50"/>
      <c r="U91" s="50"/>
      <c r="V91" s="49"/>
      <c r="W91" s="8"/>
    </row>
    <row r="92" spans="1:23" ht="14.25" customHeight="1" x14ac:dyDescent="0.5">
      <c r="A92" s="48"/>
      <c r="B92" s="50"/>
      <c r="C92" s="50"/>
      <c r="D92" s="50"/>
      <c r="E92" s="50"/>
      <c r="F92" s="50"/>
      <c r="G92" s="50"/>
      <c r="H92" s="50"/>
      <c r="I92" s="49"/>
      <c r="J92" s="8"/>
      <c r="K92" s="48" t="s">
        <v>168</v>
      </c>
      <c r="L92" s="49"/>
      <c r="M92" s="48"/>
      <c r="N92" s="50"/>
      <c r="O92" s="50"/>
      <c r="P92" s="50"/>
      <c r="Q92" s="50"/>
      <c r="R92" s="50"/>
      <c r="S92" s="50"/>
      <c r="T92" s="50"/>
      <c r="U92" s="50"/>
      <c r="V92" s="49"/>
      <c r="W92" s="8"/>
    </row>
    <row r="93" spans="1:23" ht="14.25" customHeight="1" x14ac:dyDescent="0.5">
      <c r="A93" s="48"/>
      <c r="B93" s="50"/>
      <c r="C93" s="50"/>
      <c r="D93" s="50"/>
      <c r="E93" s="50"/>
      <c r="F93" s="50"/>
      <c r="G93" s="50"/>
      <c r="H93" s="50"/>
      <c r="I93" s="49"/>
      <c r="J93" s="8"/>
      <c r="K93" s="48" t="s">
        <v>169</v>
      </c>
      <c r="L93" s="49"/>
      <c r="M93" s="48"/>
      <c r="N93" s="50"/>
      <c r="O93" s="50"/>
      <c r="P93" s="50"/>
      <c r="Q93" s="50"/>
      <c r="R93" s="50"/>
      <c r="S93" s="50"/>
      <c r="T93" s="50"/>
      <c r="U93" s="50"/>
      <c r="V93" s="49"/>
      <c r="W93" s="8"/>
    </row>
    <row r="94" spans="1:23" ht="14.25" customHeight="1" x14ac:dyDescent="0.5">
      <c r="A94" s="48"/>
      <c r="B94" s="50"/>
      <c r="C94" s="50"/>
      <c r="D94" s="50"/>
      <c r="E94" s="50"/>
      <c r="F94" s="50"/>
      <c r="G94" s="50"/>
      <c r="H94" s="50"/>
      <c r="I94" s="49"/>
      <c r="J94" s="8"/>
      <c r="K94" s="48" t="s">
        <v>170</v>
      </c>
      <c r="L94" s="49"/>
      <c r="M94" s="48"/>
      <c r="N94" s="50"/>
      <c r="O94" s="50"/>
      <c r="P94" s="50"/>
      <c r="Q94" s="50"/>
      <c r="R94" s="50"/>
      <c r="S94" s="50"/>
      <c r="T94" s="50"/>
      <c r="U94" s="50"/>
      <c r="V94" s="49"/>
      <c r="W94" s="8"/>
    </row>
    <row r="95" spans="1:23" ht="14.25" customHeight="1" x14ac:dyDescent="0.5">
      <c r="A95" s="48"/>
      <c r="B95" s="50"/>
      <c r="C95" s="50"/>
      <c r="D95" s="50"/>
      <c r="E95" s="50"/>
      <c r="F95" s="50"/>
      <c r="G95" s="50"/>
      <c r="H95" s="50"/>
      <c r="I95" s="49"/>
      <c r="J95" s="8"/>
      <c r="K95" s="48" t="s">
        <v>171</v>
      </c>
      <c r="L95" s="49"/>
      <c r="M95" s="48"/>
      <c r="N95" s="50"/>
      <c r="O95" s="50"/>
      <c r="P95" s="50"/>
      <c r="Q95" s="50"/>
      <c r="R95" s="50"/>
      <c r="S95" s="50"/>
      <c r="T95" s="50"/>
      <c r="U95" s="50"/>
      <c r="V95" s="49"/>
      <c r="W95" s="8"/>
    </row>
    <row r="96" spans="1:23" ht="14.25" customHeight="1" x14ac:dyDescent="0.5">
      <c r="A96" s="48"/>
      <c r="B96" s="50"/>
      <c r="C96" s="50"/>
      <c r="D96" s="50"/>
      <c r="E96" s="50"/>
      <c r="F96" s="50"/>
      <c r="G96" s="50"/>
      <c r="H96" s="50"/>
      <c r="I96" s="49"/>
      <c r="J96" s="8"/>
      <c r="K96" s="48" t="s">
        <v>172</v>
      </c>
      <c r="L96" s="49"/>
      <c r="M96" s="48"/>
      <c r="N96" s="50"/>
      <c r="O96" s="50"/>
      <c r="P96" s="50"/>
      <c r="Q96" s="50"/>
      <c r="R96" s="50"/>
      <c r="S96" s="50"/>
      <c r="T96" s="50"/>
      <c r="U96" s="50"/>
      <c r="V96" s="49"/>
      <c r="W96" s="8"/>
    </row>
    <row r="97" spans="1:23" ht="14.25" customHeight="1" x14ac:dyDescent="0.5">
      <c r="A97" s="48"/>
      <c r="B97" s="50"/>
      <c r="C97" s="50"/>
      <c r="D97" s="50"/>
      <c r="E97" s="50"/>
      <c r="F97" s="50"/>
      <c r="G97" s="50"/>
      <c r="H97" s="50"/>
      <c r="I97" s="49"/>
      <c r="J97" s="8"/>
      <c r="K97" s="48" t="s">
        <v>173</v>
      </c>
      <c r="L97" s="49"/>
      <c r="M97" s="48"/>
      <c r="N97" s="50"/>
      <c r="O97" s="50"/>
      <c r="P97" s="50"/>
      <c r="Q97" s="50"/>
      <c r="R97" s="50"/>
      <c r="S97" s="50"/>
      <c r="T97" s="50"/>
      <c r="U97" s="50"/>
      <c r="V97" s="49"/>
      <c r="W97" s="8"/>
    </row>
    <row r="98" spans="1:23" ht="14.25" customHeight="1" x14ac:dyDescent="0.5">
      <c r="A98" s="48"/>
      <c r="B98" s="50"/>
      <c r="C98" s="50"/>
      <c r="D98" s="50"/>
      <c r="E98" s="50"/>
      <c r="F98" s="50"/>
      <c r="G98" s="50"/>
      <c r="H98" s="50"/>
      <c r="I98" s="49"/>
      <c r="J98" s="8"/>
      <c r="K98" s="48" t="s">
        <v>174</v>
      </c>
      <c r="L98" s="49"/>
      <c r="M98" s="48" t="s">
        <v>175</v>
      </c>
      <c r="N98" s="50"/>
      <c r="O98" s="50"/>
      <c r="P98" s="50"/>
      <c r="Q98" s="50"/>
      <c r="R98" s="50"/>
      <c r="S98" s="50"/>
      <c r="T98" s="50"/>
      <c r="U98" s="50"/>
      <c r="V98" s="49"/>
      <c r="W98" s="8"/>
    </row>
    <row r="99" spans="1:23" ht="14.25" customHeight="1" x14ac:dyDescent="0.5">
      <c r="A99" s="48"/>
      <c r="B99" s="50"/>
      <c r="C99" s="50"/>
      <c r="D99" s="50"/>
      <c r="E99" s="50"/>
      <c r="F99" s="50"/>
      <c r="G99" s="50"/>
      <c r="H99" s="50"/>
      <c r="I99" s="49"/>
      <c r="J99" s="8"/>
      <c r="K99" s="48" t="s">
        <v>176</v>
      </c>
      <c r="L99" s="49"/>
      <c r="M99" s="48"/>
      <c r="N99" s="50"/>
      <c r="O99" s="50"/>
      <c r="P99" s="50"/>
      <c r="Q99" s="50"/>
      <c r="R99" s="50"/>
      <c r="S99" s="50"/>
      <c r="T99" s="50"/>
      <c r="U99" s="50"/>
      <c r="V99" s="49"/>
      <c r="W99" s="8"/>
    </row>
    <row r="100" spans="1:23" ht="14.25" customHeight="1" x14ac:dyDescent="0.5">
      <c r="A100" s="48"/>
      <c r="B100" s="50"/>
      <c r="C100" s="50"/>
      <c r="D100" s="50"/>
      <c r="E100" s="50"/>
      <c r="F100" s="50"/>
      <c r="G100" s="50"/>
      <c r="H100" s="50"/>
      <c r="I100" s="49"/>
      <c r="J100" s="8"/>
      <c r="K100" s="48" t="s">
        <v>177</v>
      </c>
      <c r="L100" s="49"/>
      <c r="M100" s="48"/>
      <c r="N100" s="50"/>
      <c r="O100" s="50"/>
      <c r="P100" s="50"/>
      <c r="Q100" s="50"/>
      <c r="R100" s="50"/>
      <c r="S100" s="50"/>
      <c r="T100" s="50"/>
      <c r="U100" s="50"/>
      <c r="V100" s="49"/>
      <c r="W100" s="8"/>
    </row>
    <row r="101" spans="1:23" ht="14.25" customHeight="1" x14ac:dyDescent="0.5">
      <c r="A101" s="48"/>
      <c r="B101" s="50"/>
      <c r="C101" s="50"/>
      <c r="D101" s="50"/>
      <c r="E101" s="50"/>
      <c r="F101" s="50"/>
      <c r="G101" s="50"/>
      <c r="H101" s="50"/>
      <c r="I101" s="49"/>
      <c r="J101" s="8"/>
      <c r="K101" s="48" t="s">
        <v>178</v>
      </c>
      <c r="L101" s="49"/>
      <c r="M101" s="48" t="s">
        <v>179</v>
      </c>
      <c r="N101" s="50"/>
      <c r="O101" s="50"/>
      <c r="P101" s="50"/>
      <c r="Q101" s="50"/>
      <c r="R101" s="50"/>
      <c r="S101" s="50"/>
      <c r="T101" s="50"/>
      <c r="U101" s="50"/>
      <c r="V101" s="49"/>
      <c r="W101" s="8"/>
    </row>
    <row r="102" spans="1:23" ht="14.25" customHeight="1" x14ac:dyDescent="0.5">
      <c r="A102" s="48"/>
      <c r="B102" s="50"/>
      <c r="C102" s="50"/>
      <c r="D102" s="50"/>
      <c r="E102" s="50"/>
      <c r="F102" s="50"/>
      <c r="G102" s="50"/>
      <c r="H102" s="50"/>
      <c r="I102" s="49"/>
      <c r="J102" s="8"/>
      <c r="K102" s="48" t="s">
        <v>180</v>
      </c>
      <c r="L102" s="49"/>
      <c r="M102" s="48" t="s">
        <v>181</v>
      </c>
      <c r="N102" s="50"/>
      <c r="O102" s="50"/>
      <c r="P102" s="50"/>
      <c r="Q102" s="50"/>
      <c r="R102" s="50"/>
      <c r="S102" s="50"/>
      <c r="T102" s="50"/>
      <c r="U102" s="50"/>
      <c r="V102" s="49"/>
      <c r="W102" s="8"/>
    </row>
    <row r="103" spans="1:23" ht="14.25" customHeight="1" x14ac:dyDescent="0.5">
      <c r="A103" s="48"/>
      <c r="B103" s="50"/>
      <c r="C103" s="50"/>
      <c r="D103" s="50"/>
      <c r="E103" s="50"/>
      <c r="F103" s="50"/>
      <c r="G103" s="50"/>
      <c r="H103" s="50"/>
      <c r="I103" s="49"/>
      <c r="J103" s="8"/>
      <c r="K103" s="48"/>
      <c r="L103" s="49"/>
      <c r="M103" s="48"/>
      <c r="N103" s="50"/>
      <c r="O103" s="50"/>
      <c r="P103" s="50"/>
      <c r="Q103" s="50"/>
      <c r="R103" s="50"/>
      <c r="S103" s="50"/>
      <c r="T103" s="50"/>
      <c r="U103" s="50"/>
      <c r="V103" s="49"/>
      <c r="W103" s="8"/>
    </row>
    <row r="104" spans="1:23" ht="14.25" customHeight="1" x14ac:dyDescent="0.5">
      <c r="A104" s="48"/>
      <c r="B104" s="50"/>
      <c r="C104" s="50"/>
      <c r="D104" s="50"/>
      <c r="E104" s="50"/>
      <c r="F104" s="50"/>
      <c r="G104" s="50"/>
      <c r="H104" s="50"/>
      <c r="I104" s="49"/>
      <c r="J104" s="8"/>
      <c r="K104" s="48" t="s">
        <v>182</v>
      </c>
      <c r="L104" s="49"/>
      <c r="M104" s="48"/>
      <c r="N104" s="50"/>
      <c r="O104" s="50"/>
      <c r="P104" s="50"/>
      <c r="Q104" s="50"/>
      <c r="R104" s="50"/>
      <c r="S104" s="50"/>
      <c r="T104" s="50"/>
      <c r="U104" s="50"/>
      <c r="V104" s="49"/>
      <c r="W104" s="8"/>
    </row>
    <row r="105" spans="1:23" ht="14.25" customHeight="1" x14ac:dyDescent="0.5">
      <c r="A105" s="48"/>
      <c r="B105" s="50"/>
      <c r="C105" s="50"/>
      <c r="D105" s="50"/>
      <c r="E105" s="50"/>
      <c r="F105" s="50"/>
      <c r="G105" s="50"/>
      <c r="H105" s="50"/>
      <c r="I105" s="49"/>
      <c r="J105" s="8"/>
      <c r="K105" s="48" t="s">
        <v>183</v>
      </c>
      <c r="L105" s="49"/>
      <c r="M105" s="48"/>
      <c r="N105" s="50"/>
      <c r="O105" s="50"/>
      <c r="P105" s="50"/>
      <c r="Q105" s="50"/>
      <c r="R105" s="50"/>
      <c r="S105" s="50"/>
      <c r="T105" s="50"/>
      <c r="U105" s="50"/>
      <c r="V105" s="49"/>
      <c r="W105" s="8"/>
    </row>
    <row r="106" spans="1:23" ht="14.25" customHeight="1" x14ac:dyDescent="0.5">
      <c r="A106" s="48"/>
      <c r="B106" s="50"/>
      <c r="C106" s="50"/>
      <c r="D106" s="50"/>
      <c r="E106" s="50"/>
      <c r="F106" s="50"/>
      <c r="G106" s="50"/>
      <c r="H106" s="50"/>
      <c r="I106" s="49"/>
      <c r="J106" s="8"/>
      <c r="K106" s="48"/>
      <c r="L106" s="49"/>
      <c r="M106" s="48"/>
      <c r="N106" s="50"/>
      <c r="O106" s="50"/>
      <c r="P106" s="50"/>
      <c r="Q106" s="50"/>
      <c r="R106" s="50"/>
      <c r="S106" s="50"/>
      <c r="T106" s="50"/>
      <c r="U106" s="50"/>
      <c r="V106" s="49"/>
      <c r="W106" s="8"/>
    </row>
    <row r="107" spans="1:23" ht="14.25" customHeight="1" x14ac:dyDescent="0.5">
      <c r="A107" s="48"/>
      <c r="B107" s="50"/>
      <c r="C107" s="50"/>
      <c r="D107" s="50"/>
      <c r="E107" s="50"/>
      <c r="F107" s="50"/>
      <c r="G107" s="50"/>
      <c r="H107" s="50"/>
      <c r="I107" s="49"/>
      <c r="J107" s="8"/>
      <c r="K107" s="48"/>
      <c r="L107" s="49"/>
      <c r="M107" s="48"/>
      <c r="N107" s="50"/>
      <c r="O107" s="50"/>
      <c r="P107" s="50"/>
      <c r="Q107" s="50"/>
      <c r="R107" s="50"/>
      <c r="S107" s="50"/>
      <c r="T107" s="50"/>
      <c r="U107" s="50"/>
      <c r="V107" s="49"/>
      <c r="W107" s="8"/>
    </row>
    <row r="108" spans="1:23" ht="14.25" customHeight="1" x14ac:dyDescent="0.5">
      <c r="A108" s="48"/>
      <c r="B108" s="50"/>
      <c r="C108" s="50"/>
      <c r="D108" s="50"/>
      <c r="E108" s="50"/>
      <c r="F108" s="50"/>
      <c r="G108" s="50"/>
      <c r="H108" s="50"/>
      <c r="I108" s="49"/>
      <c r="J108" s="8"/>
      <c r="K108" s="48"/>
      <c r="L108" s="49"/>
      <c r="M108" s="48"/>
      <c r="N108" s="50"/>
      <c r="O108" s="50"/>
      <c r="P108" s="50"/>
      <c r="Q108" s="50"/>
      <c r="R108" s="50"/>
      <c r="S108" s="50"/>
      <c r="T108" s="50"/>
      <c r="U108" s="50"/>
      <c r="V108" s="49"/>
      <c r="W108" s="8"/>
    </row>
    <row r="109" spans="1:23" ht="14.25" customHeight="1" x14ac:dyDescent="0.5">
      <c r="A109" s="48"/>
      <c r="B109" s="50"/>
      <c r="C109" s="50"/>
      <c r="D109" s="50"/>
      <c r="E109" s="50"/>
      <c r="F109" s="50"/>
      <c r="G109" s="50"/>
      <c r="H109" s="50"/>
      <c r="I109" s="49"/>
      <c r="J109" s="8"/>
      <c r="K109" s="48"/>
      <c r="L109" s="49"/>
      <c r="M109" s="48"/>
      <c r="N109" s="50"/>
      <c r="O109" s="50"/>
      <c r="P109" s="50"/>
      <c r="Q109" s="50"/>
      <c r="R109" s="50"/>
      <c r="S109" s="50"/>
      <c r="T109" s="50"/>
      <c r="U109" s="50"/>
      <c r="V109" s="49"/>
      <c r="W109" s="8"/>
    </row>
    <row r="110" spans="1:23" ht="14.25" customHeight="1" x14ac:dyDescent="0.5">
      <c r="J110" s="8"/>
      <c r="W110" s="8"/>
    </row>
  </sheetData>
  <mergeCells count="329">
    <mergeCell ref="M90:V90"/>
    <mergeCell ref="M91:V91"/>
    <mergeCell ref="M92:V92"/>
    <mergeCell ref="M93:V93"/>
    <mergeCell ref="M81:V81"/>
    <mergeCell ref="M82:V82"/>
    <mergeCell ref="M83:V83"/>
    <mergeCell ref="M84:V84"/>
    <mergeCell ref="M85:V85"/>
    <mergeCell ref="M86:V86"/>
    <mergeCell ref="M87:V87"/>
    <mergeCell ref="M88:V88"/>
    <mergeCell ref="M89:V89"/>
    <mergeCell ref="M72:V72"/>
    <mergeCell ref="M73:V73"/>
    <mergeCell ref="M74:V74"/>
    <mergeCell ref="M75:V75"/>
    <mergeCell ref="M76:V76"/>
    <mergeCell ref="M77:V77"/>
    <mergeCell ref="M78:V78"/>
    <mergeCell ref="M79:V79"/>
    <mergeCell ref="M80:V80"/>
    <mergeCell ref="M63:V63"/>
    <mergeCell ref="M64:V64"/>
    <mergeCell ref="M65:V65"/>
    <mergeCell ref="M66:V66"/>
    <mergeCell ref="M67:V67"/>
    <mergeCell ref="M68:V68"/>
    <mergeCell ref="M69:V69"/>
    <mergeCell ref="M70:V70"/>
    <mergeCell ref="M71:V71"/>
    <mergeCell ref="M54:V54"/>
    <mergeCell ref="M55:V55"/>
    <mergeCell ref="M56:V56"/>
    <mergeCell ref="M57:V57"/>
    <mergeCell ref="M58:V58"/>
    <mergeCell ref="M59:V59"/>
    <mergeCell ref="M60:V60"/>
    <mergeCell ref="M61:V61"/>
    <mergeCell ref="M62:V62"/>
    <mergeCell ref="P43:V43"/>
    <mergeCell ref="P44:V44"/>
    <mergeCell ref="P45:V45"/>
    <mergeCell ref="O46:U46"/>
    <mergeCell ref="Q48:T48"/>
    <mergeCell ref="Q49:T49"/>
    <mergeCell ref="Q50:T50"/>
    <mergeCell ref="M52:V52"/>
    <mergeCell ref="M53:V53"/>
    <mergeCell ref="A109:I109"/>
    <mergeCell ref="A96:I96"/>
    <mergeCell ref="A97:I97"/>
    <mergeCell ref="A98:I98"/>
    <mergeCell ref="A99:I99"/>
    <mergeCell ref="A100:I100"/>
    <mergeCell ref="A101:I101"/>
    <mergeCell ref="A102:I102"/>
    <mergeCell ref="M94:V94"/>
    <mergeCell ref="M95:V95"/>
    <mergeCell ref="M96:V96"/>
    <mergeCell ref="M97:V97"/>
    <mergeCell ref="M98:V98"/>
    <mergeCell ref="M99:V99"/>
    <mergeCell ref="M100:V100"/>
    <mergeCell ref="M108:V108"/>
    <mergeCell ref="M109:V109"/>
    <mergeCell ref="M101:V101"/>
    <mergeCell ref="M102:V102"/>
    <mergeCell ref="M103:V103"/>
    <mergeCell ref="M104:V104"/>
    <mergeCell ref="M105:V105"/>
    <mergeCell ref="M106:V106"/>
    <mergeCell ref="M107:V107"/>
    <mergeCell ref="A93:I93"/>
    <mergeCell ref="A94:I94"/>
    <mergeCell ref="A95:I95"/>
    <mergeCell ref="A103:I103"/>
    <mergeCell ref="A104:I104"/>
    <mergeCell ref="A105:I105"/>
    <mergeCell ref="A106:I106"/>
    <mergeCell ref="A107:I107"/>
    <mergeCell ref="A108:I108"/>
    <mergeCell ref="K60:L60"/>
    <mergeCell ref="K61:L61"/>
    <mergeCell ref="K62:L62"/>
    <mergeCell ref="K63:L63"/>
    <mergeCell ref="K64:L64"/>
    <mergeCell ref="A89:I89"/>
    <mergeCell ref="A90:I90"/>
    <mergeCell ref="A91:I91"/>
    <mergeCell ref="A92:I92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107:L107"/>
    <mergeCell ref="K108:L108"/>
    <mergeCell ref="K109:L109"/>
    <mergeCell ref="K100:L100"/>
    <mergeCell ref="K101:L101"/>
    <mergeCell ref="K102:L102"/>
    <mergeCell ref="K103:L103"/>
    <mergeCell ref="K104:L104"/>
    <mergeCell ref="K105:L105"/>
    <mergeCell ref="K106:L106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P42:V42"/>
    <mergeCell ref="K65:L65"/>
    <mergeCell ref="K66:L66"/>
    <mergeCell ref="K67:L67"/>
    <mergeCell ref="K68:L68"/>
    <mergeCell ref="K69:L69"/>
    <mergeCell ref="K70:L70"/>
    <mergeCell ref="K71:L71"/>
    <mergeCell ref="K72:L72"/>
    <mergeCell ref="M45:N45"/>
    <mergeCell ref="M47:N47"/>
    <mergeCell ref="M49:N49"/>
    <mergeCell ref="K42:L42"/>
    <mergeCell ref="M42:N42"/>
    <mergeCell ref="K43:L43"/>
    <mergeCell ref="M43:N43"/>
    <mergeCell ref="M44:N44"/>
    <mergeCell ref="K44:L44"/>
    <mergeCell ref="K45:L45"/>
    <mergeCell ref="K46:L46"/>
    <mergeCell ref="K47:L47"/>
    <mergeCell ref="K48:L48"/>
    <mergeCell ref="K49:L49"/>
    <mergeCell ref="K50:L50"/>
    <mergeCell ref="K37:L37"/>
    <mergeCell ref="M37:N37"/>
    <mergeCell ref="P37:V37"/>
    <mergeCell ref="K38:L38"/>
    <mergeCell ref="M38:N38"/>
    <mergeCell ref="P38:V38"/>
    <mergeCell ref="P39:V39"/>
    <mergeCell ref="P40:V40"/>
    <mergeCell ref="P41:V41"/>
    <mergeCell ref="K39:L39"/>
    <mergeCell ref="M39:N39"/>
    <mergeCell ref="K40:L40"/>
    <mergeCell ref="M40:N40"/>
    <mergeCell ref="K41:L41"/>
    <mergeCell ref="M41:N41"/>
    <mergeCell ref="K29:L29"/>
    <mergeCell ref="M29:N29"/>
    <mergeCell ref="A30:B30"/>
    <mergeCell ref="M30:N30"/>
    <mergeCell ref="M31:N31"/>
    <mergeCell ref="K34:L34"/>
    <mergeCell ref="K35:L35"/>
    <mergeCell ref="P35:V35"/>
    <mergeCell ref="P36:V36"/>
    <mergeCell ref="K30:L30"/>
    <mergeCell ref="K31:L31"/>
    <mergeCell ref="K32:L32"/>
    <mergeCell ref="M32:N32"/>
    <mergeCell ref="K33:L33"/>
    <mergeCell ref="M33:N33"/>
    <mergeCell ref="M34:N34"/>
    <mergeCell ref="M35:N35"/>
    <mergeCell ref="K36:L36"/>
    <mergeCell ref="M36:N36"/>
    <mergeCell ref="K25:L25"/>
    <mergeCell ref="M25:N25"/>
    <mergeCell ref="P25:V25"/>
    <mergeCell ref="K26:L26"/>
    <mergeCell ref="M26:N26"/>
    <mergeCell ref="K27:L27"/>
    <mergeCell ref="M27:N27"/>
    <mergeCell ref="K28:L28"/>
    <mergeCell ref="M28:N28"/>
    <mergeCell ref="M19:N19"/>
    <mergeCell ref="T19:U19"/>
    <mergeCell ref="K22:L22"/>
    <mergeCell ref="M22:N22"/>
    <mergeCell ref="P22:V22"/>
    <mergeCell ref="K23:L23"/>
    <mergeCell ref="M23:N23"/>
    <mergeCell ref="P23:V23"/>
    <mergeCell ref="K24:L24"/>
    <mergeCell ref="P33:V33"/>
    <mergeCell ref="P34:V34"/>
    <mergeCell ref="P26:V26"/>
    <mergeCell ref="P27:V27"/>
    <mergeCell ref="P28:V28"/>
    <mergeCell ref="P29:V29"/>
    <mergeCell ref="P30:V30"/>
    <mergeCell ref="P31:V31"/>
    <mergeCell ref="P32:V32"/>
    <mergeCell ref="L11:V11"/>
    <mergeCell ref="M14:N14"/>
    <mergeCell ref="O14:P14"/>
    <mergeCell ref="Q14:R14"/>
    <mergeCell ref="U14:V14"/>
    <mergeCell ref="U16:V16"/>
    <mergeCell ref="L17:V17"/>
    <mergeCell ref="K19:L19"/>
    <mergeCell ref="A20:B20"/>
    <mergeCell ref="K20:L20"/>
    <mergeCell ref="M20:N20"/>
    <mergeCell ref="T20:U20"/>
    <mergeCell ref="K12:L12"/>
    <mergeCell ref="M12:N12"/>
    <mergeCell ref="O12:P12"/>
    <mergeCell ref="Q12:R12"/>
    <mergeCell ref="U12:V12"/>
    <mergeCell ref="L13:V13"/>
    <mergeCell ref="L15:V15"/>
    <mergeCell ref="K14:L14"/>
    <mergeCell ref="K16:L16"/>
    <mergeCell ref="M16:N16"/>
    <mergeCell ref="O16:P16"/>
    <mergeCell ref="Q16:R16"/>
    <mergeCell ref="F6:G6"/>
    <mergeCell ref="M9:N9"/>
    <mergeCell ref="O9:P9"/>
    <mergeCell ref="Q9:R9"/>
    <mergeCell ref="U9:V9"/>
    <mergeCell ref="K9:L9"/>
    <mergeCell ref="K10:L10"/>
    <mergeCell ref="M10:N10"/>
    <mergeCell ref="O10:P10"/>
    <mergeCell ref="Q10:R10"/>
    <mergeCell ref="U10:V10"/>
    <mergeCell ref="B1:C1"/>
    <mergeCell ref="H1:I1"/>
    <mergeCell ref="K1:L1"/>
    <mergeCell ref="M1:V1"/>
    <mergeCell ref="K2:L2"/>
    <mergeCell ref="K3:L3"/>
    <mergeCell ref="M3:N3"/>
    <mergeCell ref="E1:F1"/>
    <mergeCell ref="F5:G5"/>
    <mergeCell ref="A71:B71"/>
    <mergeCell ref="C72:I72"/>
    <mergeCell ref="A82:I82"/>
    <mergeCell ref="A83:I83"/>
    <mergeCell ref="A84:I84"/>
    <mergeCell ref="A85:I85"/>
    <mergeCell ref="A86:I86"/>
    <mergeCell ref="A87:I87"/>
    <mergeCell ref="A88:I88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80:I80"/>
    <mergeCell ref="A81:I81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72:B72"/>
    <mergeCell ref="A73:B73"/>
    <mergeCell ref="A74:B74"/>
    <mergeCell ref="A75:B75"/>
    <mergeCell ref="A76:B76"/>
    <mergeCell ref="A77:B77"/>
    <mergeCell ref="A79:B79"/>
    <mergeCell ref="C73:I73"/>
    <mergeCell ref="C74:I74"/>
    <mergeCell ref="C75:I75"/>
    <mergeCell ref="C76:I76"/>
    <mergeCell ref="C77:I77"/>
  </mergeCells>
  <conditionalFormatting sqref="E33:E67">
    <cfRule type="cellIs" dxfId="0" priority="1" operator="equal">
      <formula>"Y"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Character Sheet</vt:lpstr>
      <vt:lpstr>Example (Scoundrel)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Picken</dc:creator>
  <cp:lastModifiedBy>Sharon Picken</cp:lastModifiedBy>
  <dcterms:modified xsi:type="dcterms:W3CDTF">2026-01-31T02:06:46Z</dcterms:modified>
</cp:coreProperties>
</file>